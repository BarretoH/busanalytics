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rreto\Documents\econexcel\busanalytics\excelworkbooks\MCSim\"/>
    </mc:Choice>
  </mc:AlternateContent>
  <xr:revisionPtr revIDLastSave="0" documentId="13_ncr:1_{D48D8485-1FFA-4FB2-B18D-D6AC32892050}" xr6:coauthVersionLast="36" xr6:coauthVersionMax="36" xr10:uidLastSave="{00000000-0000-0000-0000-000000000000}"/>
  <bookViews>
    <workbookView xWindow="0" yWindow="0" windowWidth="23040" windowHeight="8940" firstSheet="2" activeTab="2" xr2:uid="{00000000-000D-0000-FFFF-FFFF00000000}"/>
  </bookViews>
  <sheets>
    <sheet name="OneVarMCSim" sheetId="5" state="hidden" r:id="rId1"/>
    <sheet name="TwoVarMCSim" sheetId="6" state="hidden" r:id="rId2"/>
    <sheet name="Intro" sheetId="44" r:id="rId3"/>
    <sheet name="DGP" sheetId="1" r:id="rId4"/>
    <sheet name="MC" sheetId="19" state="hidden" r:id="rId5"/>
    <sheet name="MCParr" sheetId="22" state="hidden" r:id="rId6"/>
    <sheet name="Optimal" sheetId="37" state="hidden" r:id="rId7"/>
    <sheet name="MCParrOpt" sheetId="26" state="hidden" r:id="rId8"/>
  </sheets>
  <functionGroups builtInGroupCount="19"/>
  <definedNames>
    <definedName name="epsilon" localSheetId="6">Optimal!$B$4</definedName>
    <definedName name="epsilon">DGP!$B$4</definedName>
  </definedNames>
  <calcPr calcId="191029"/>
</workbook>
</file>

<file path=xl/calcChain.xml><?xml version="1.0" encoding="utf-8"?>
<calcChain xmlns="http://schemas.openxmlformats.org/spreadsheetml/2006/main">
  <c r="Q8" i="37" l="1"/>
  <c r="I8" i="37"/>
  <c r="K8" i="37" s="1"/>
  <c r="L8" i="37" s="1"/>
  <c r="H9" i="37" s="1"/>
  <c r="I9" i="37" s="1"/>
  <c r="K5" i="37"/>
  <c r="H5" i="37"/>
  <c r="S8" i="37" s="1"/>
  <c r="B5" i="37"/>
  <c r="B57" i="37" s="1"/>
  <c r="K9" i="37" l="1"/>
  <c r="L9" i="37" s="1"/>
  <c r="H10" i="37" s="1"/>
  <c r="I10" i="37" s="1"/>
  <c r="J9" i="37"/>
  <c r="B18" i="37"/>
  <c r="B32" i="37"/>
  <c r="B40" i="37"/>
  <c r="B48" i="37"/>
  <c r="B56" i="37"/>
  <c r="B107" i="37"/>
  <c r="B105" i="37"/>
  <c r="B103" i="37"/>
  <c r="B101" i="37"/>
  <c r="B99" i="37"/>
  <c r="B97" i="37"/>
  <c r="B95" i="37"/>
  <c r="B93" i="37"/>
  <c r="B91" i="37"/>
  <c r="B89" i="37"/>
  <c r="B87" i="37"/>
  <c r="B85" i="37"/>
  <c r="B102" i="37"/>
  <c r="B92" i="37"/>
  <c r="B84" i="37"/>
  <c r="B106" i="37"/>
  <c r="B98" i="37"/>
  <c r="B96" i="37"/>
  <c r="B88" i="37"/>
  <c r="B100" i="37"/>
  <c r="B94" i="37"/>
  <c r="B73" i="37"/>
  <c r="B71" i="37"/>
  <c r="B69" i="37"/>
  <c r="B67" i="37"/>
  <c r="B65" i="37"/>
  <c r="B63" i="37"/>
  <c r="B104" i="37"/>
  <c r="B83" i="37"/>
  <c r="B82" i="37"/>
  <c r="B81" i="37"/>
  <c r="B80" i="37"/>
  <c r="B79" i="37"/>
  <c r="B78" i="37"/>
  <c r="B77" i="37"/>
  <c r="B76" i="37"/>
  <c r="B75" i="37"/>
  <c r="B74" i="37"/>
  <c r="B72" i="37"/>
  <c r="B70" i="37"/>
  <c r="B68" i="37"/>
  <c r="B66" i="37"/>
  <c r="B64" i="37"/>
  <c r="B62" i="37"/>
  <c r="B60" i="37"/>
  <c r="B58" i="37"/>
  <c r="T58" i="37" s="1"/>
  <c r="B86" i="37"/>
  <c r="B90" i="37"/>
  <c r="B61" i="37"/>
  <c r="B55" i="37"/>
  <c r="B53" i="37"/>
  <c r="B51" i="37"/>
  <c r="B49" i="37"/>
  <c r="B47" i="37"/>
  <c r="B45" i="37"/>
  <c r="B43" i="37"/>
  <c r="B41" i="37"/>
  <c r="B39" i="37"/>
  <c r="B37" i="37"/>
  <c r="B35" i="37"/>
  <c r="B33" i="37"/>
  <c r="B31" i="37"/>
  <c r="T31" i="37" s="1"/>
  <c r="B29" i="37"/>
  <c r="B27" i="37"/>
  <c r="B25" i="37"/>
  <c r="B23" i="37"/>
  <c r="B21" i="37"/>
  <c r="B19" i="37"/>
  <c r="B59" i="37"/>
  <c r="B10" i="37"/>
  <c r="B14" i="37"/>
  <c r="B16" i="37"/>
  <c r="B30" i="37"/>
  <c r="B38" i="37"/>
  <c r="B46" i="37"/>
  <c r="B54" i="37"/>
  <c r="B20" i="37"/>
  <c r="J8" i="37"/>
  <c r="B9" i="37"/>
  <c r="B11" i="37"/>
  <c r="B13" i="37"/>
  <c r="B15" i="37"/>
  <c r="B17" i="37"/>
  <c r="B22" i="37"/>
  <c r="B26" i="37"/>
  <c r="B34" i="37"/>
  <c r="B42" i="37"/>
  <c r="B50" i="37"/>
  <c r="B12" i="37"/>
  <c r="B24" i="37"/>
  <c r="B8" i="37"/>
  <c r="B28" i="37"/>
  <c r="B36" i="37"/>
  <c r="B44" i="37"/>
  <c r="B52" i="37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T28" i="37" l="1"/>
  <c r="C8" i="37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72" i="37" s="1"/>
  <c r="C73" i="37" s="1"/>
  <c r="C74" i="37" s="1"/>
  <c r="C75" i="37" s="1"/>
  <c r="C76" i="37" s="1"/>
  <c r="C77" i="37" s="1"/>
  <c r="C78" i="37" s="1"/>
  <c r="C79" i="37" s="1"/>
  <c r="C80" i="37" s="1"/>
  <c r="C81" i="37" s="1"/>
  <c r="C82" i="37" s="1"/>
  <c r="C83" i="37" s="1"/>
  <c r="C84" i="37" s="1"/>
  <c r="C85" i="37" s="1"/>
  <c r="C86" i="37" s="1"/>
  <c r="C87" i="37" s="1"/>
  <c r="C88" i="37" s="1"/>
  <c r="C89" i="37" s="1"/>
  <c r="C90" i="37" s="1"/>
  <c r="C91" i="37" s="1"/>
  <c r="C92" i="37" s="1"/>
  <c r="C93" i="37" s="1"/>
  <c r="C94" i="37" s="1"/>
  <c r="C95" i="37" s="1"/>
  <c r="C96" i="37" s="1"/>
  <c r="C97" i="37" s="1"/>
  <c r="C98" i="37" s="1"/>
  <c r="C99" i="37" s="1"/>
  <c r="C100" i="37" s="1"/>
  <c r="C101" i="37" s="1"/>
  <c r="C102" i="37" s="1"/>
  <c r="C103" i="37" s="1"/>
  <c r="C104" i="37" s="1"/>
  <c r="C105" i="37" s="1"/>
  <c r="C106" i="37" s="1"/>
  <c r="C107" i="37" s="1"/>
  <c r="T8" i="37"/>
  <c r="U8" i="37" s="1"/>
  <c r="P9" i="37" s="1"/>
  <c r="Q9" i="37" s="1"/>
  <c r="K10" i="37"/>
  <c r="L10" i="37" s="1"/>
  <c r="H11" i="37" s="1"/>
  <c r="I11" i="37" s="1"/>
  <c r="J10" i="37"/>
  <c r="B7" i="19"/>
  <c r="A7" i="19"/>
  <c r="C6" i="19"/>
  <c r="A6" i="19"/>
  <c r="E109" i="19" s="1" a="1"/>
  <c r="C5" i="19"/>
  <c r="B5" i="19"/>
  <c r="P116" i="22"/>
  <c r="F121" i="22"/>
  <c r="E120" i="22"/>
  <c r="F121" i="19"/>
  <c r="E120" i="19"/>
  <c r="R121" i="22"/>
  <c r="Q121" i="22"/>
  <c r="P121" i="22"/>
  <c r="Q116" i="22"/>
  <c r="R116" i="22"/>
  <c r="A20" i="22"/>
  <c r="B20" i="22"/>
  <c r="C19" i="22"/>
  <c r="A19" i="22"/>
  <c r="B18" i="22"/>
  <c r="C18" i="22"/>
  <c r="B14" i="22"/>
  <c r="A14" i="22"/>
  <c r="A13" i="22"/>
  <c r="C13" i="22"/>
  <c r="C12" i="22"/>
  <c r="B12" i="22"/>
  <c r="B7" i="22"/>
  <c r="A7" i="22"/>
  <c r="C6" i="22"/>
  <c r="A6" i="22"/>
  <c r="C5" i="22"/>
  <c r="B5" i="22"/>
  <c r="B14" i="26"/>
  <c r="A14" i="26"/>
  <c r="C13" i="26"/>
  <c r="A13" i="26"/>
  <c r="C12" i="26"/>
  <c r="B12" i="26"/>
  <c r="B8" i="26"/>
  <c r="A8" i="26"/>
  <c r="C7" i="26"/>
  <c r="A7" i="26"/>
  <c r="C6" i="26"/>
  <c r="B6" i="26"/>
  <c r="G5" i="26"/>
  <c r="E6" i="26" s="1" a="1"/>
  <c r="F5" i="26"/>
  <c r="E5" i="26"/>
  <c r="J5" i="26" s="1"/>
  <c r="G5" i="22"/>
  <c r="F5" i="22"/>
  <c r="E5" i="22"/>
  <c r="G5" i="19"/>
  <c r="F5" i="19"/>
  <c r="E5" i="19"/>
  <c r="Q8" i="1"/>
  <c r="B5" i="1"/>
  <c r="B8" i="1"/>
  <c r="C8" i="1" s="1"/>
  <c r="H5" i="1"/>
  <c r="S8" i="1" s="1"/>
  <c r="K5" i="1"/>
  <c r="I8" i="1"/>
  <c r="B22" i="1"/>
  <c r="B30" i="1"/>
  <c r="B34" i="1"/>
  <c r="B37" i="1"/>
  <c r="B39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40" i="1"/>
  <c r="B38" i="1"/>
  <c r="B36" i="1"/>
  <c r="B32" i="1"/>
  <c r="B26" i="1"/>
  <c r="B15" i="1"/>
  <c r="B35" i="1"/>
  <c r="B33" i="1"/>
  <c r="B31" i="1"/>
  <c r="B28" i="1"/>
  <c r="B24" i="1"/>
  <c r="B19" i="1"/>
  <c r="B11" i="1"/>
  <c r="B29" i="1"/>
  <c r="B27" i="1"/>
  <c r="B25" i="1"/>
  <c r="B23" i="1"/>
  <c r="B21" i="1"/>
  <c r="B17" i="1"/>
  <c r="B13" i="1"/>
  <c r="B9" i="1"/>
  <c r="B20" i="1"/>
  <c r="B18" i="1"/>
  <c r="B16" i="1"/>
  <c r="B14" i="1"/>
  <c r="B12" i="1"/>
  <c r="B10" i="1"/>
  <c r="E109" i="22" a="1"/>
  <c r="E109" i="22" s="1"/>
  <c r="S110" i="22"/>
  <c r="S115" i="22"/>
  <c r="S120" i="22"/>
  <c r="G111" i="22"/>
  <c r="G110" i="22"/>
  <c r="G115" i="22" s="1"/>
  <c r="G121" i="22" s="1"/>
  <c r="F110" i="22"/>
  <c r="F111" i="22"/>
  <c r="F116" i="22" s="1"/>
  <c r="G109" i="22"/>
  <c r="G114" i="22" s="1"/>
  <c r="G120" i="22"/>
  <c r="S9" i="37" l="1"/>
  <c r="T9" i="37" s="1"/>
  <c r="U9" i="37" s="1"/>
  <c r="P10" i="37" s="1"/>
  <c r="Q10" i="37" s="1"/>
  <c r="R9" i="37"/>
  <c r="K11" i="37"/>
  <c r="L11" i="37" s="1"/>
  <c r="H12" i="37" s="1"/>
  <c r="I12" i="37" s="1"/>
  <c r="J11" i="37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T8" i="1"/>
  <c r="U8" i="1" s="1"/>
  <c r="P9" i="1" s="1"/>
  <c r="Q9" i="1" s="1"/>
  <c r="R9" i="1" s="1"/>
  <c r="E111" i="19"/>
  <c r="E116" i="19" s="1"/>
  <c r="E110" i="19"/>
  <c r="E115" i="19" s="1"/>
  <c r="E121" i="19" s="1"/>
  <c r="F111" i="19"/>
  <c r="F116" i="19" s="1"/>
  <c r="E109" i="19"/>
  <c r="F110" i="19"/>
  <c r="G111" i="19"/>
  <c r="G110" i="19"/>
  <c r="G115" i="19" s="1"/>
  <c r="G121" i="19" s="1"/>
  <c r="G109" i="19"/>
  <c r="G114" i="19" s="1"/>
  <c r="G120" i="19" s="1"/>
  <c r="F109" i="19"/>
  <c r="F114" i="19" s="1"/>
  <c r="F120" i="19" s="1"/>
  <c r="E125" i="19" s="1" a="1"/>
  <c r="E6" i="26"/>
  <c r="G6" i="26"/>
  <c r="F6" i="26"/>
  <c r="E6" i="19" a="1"/>
  <c r="J5" i="19"/>
  <c r="E6" i="22" a="1"/>
  <c r="J5" i="22"/>
  <c r="K8" i="1"/>
  <c r="L8" i="1" s="1"/>
  <c r="H9" i="1" s="1"/>
  <c r="I9" i="1" s="1"/>
  <c r="J8" i="1"/>
  <c r="E111" i="22"/>
  <c r="E116" i="22" s="1"/>
  <c r="E110" i="22"/>
  <c r="E115" i="22" s="1"/>
  <c r="E121" i="22" s="1"/>
  <c r="F109" i="22"/>
  <c r="F114" i="22" s="1"/>
  <c r="F120" i="22" s="1"/>
  <c r="E125" i="22" s="1" a="1"/>
  <c r="S10" i="37" l="1"/>
  <c r="T10" i="37" s="1"/>
  <c r="U10" i="37" s="1"/>
  <c r="R10" i="37"/>
  <c r="J12" i="37"/>
  <c r="K12" i="37"/>
  <c r="L12" i="37" s="1"/>
  <c r="H13" i="37" s="1"/>
  <c r="I13" i="37" s="1"/>
  <c r="S9" i="1"/>
  <c r="T9" i="1" s="1"/>
  <c r="U9" i="1" s="1"/>
  <c r="P10" i="1" s="1"/>
  <c r="Q10" i="1" s="1"/>
  <c r="S10" i="1" s="1"/>
  <c r="T10" i="1" s="1"/>
  <c r="U10" i="1" s="1"/>
  <c r="P11" i="1" s="1"/>
  <c r="Q11" i="1" s="1"/>
  <c r="R11" i="1" s="1"/>
  <c r="F127" i="19"/>
  <c r="E125" i="19"/>
  <c r="G126" i="19"/>
  <c r="F125" i="19"/>
  <c r="G127" i="19"/>
  <c r="E126" i="19"/>
  <c r="E127" i="19"/>
  <c r="F126" i="19"/>
  <c r="G125" i="19"/>
  <c r="E6" i="22"/>
  <c r="F6" i="22"/>
  <c r="G6" i="22"/>
  <c r="G125" i="22"/>
  <c r="G127" i="22"/>
  <c r="F126" i="22"/>
  <c r="E125" i="22"/>
  <c r="E127" i="22"/>
  <c r="F125" i="22"/>
  <c r="E126" i="22"/>
  <c r="F127" i="22"/>
  <c r="G126" i="22"/>
  <c r="K9" i="1"/>
  <c r="L9" i="1" s="1"/>
  <c r="H10" i="1" s="1"/>
  <c r="I10" i="1" s="1"/>
  <c r="J9" i="1"/>
  <c r="F6" i="19"/>
  <c r="G6" i="19"/>
  <c r="E6" i="19"/>
  <c r="E7" i="26" a="1"/>
  <c r="J6" i="26"/>
  <c r="K13" i="37" l="1"/>
  <c r="L13" i="37" s="1"/>
  <c r="H14" i="37" s="1"/>
  <c r="I14" i="37" s="1"/>
  <c r="J13" i="37"/>
  <c r="P11" i="37"/>
  <c r="Q11" i="37" s="1"/>
  <c r="R10" i="1"/>
  <c r="S11" i="1"/>
  <c r="T11" i="1" s="1"/>
  <c r="U11" i="1" s="1"/>
  <c r="P12" i="1" s="1"/>
  <c r="Q12" i="1" s="1"/>
  <c r="S12" i="1" s="1"/>
  <c r="T12" i="1" s="1"/>
  <c r="U12" i="1" s="1"/>
  <c r="P13" i="1" s="1"/>
  <c r="Q13" i="1" s="1"/>
  <c r="S13" i="1" s="1"/>
  <c r="T13" i="1" s="1"/>
  <c r="U13" i="1" s="1"/>
  <c r="G7" i="26"/>
  <c r="F7" i="26"/>
  <c r="E7" i="26"/>
  <c r="E7" i="19" a="1"/>
  <c r="J6" i="19"/>
  <c r="K10" i="1"/>
  <c r="L10" i="1" s="1"/>
  <c r="H11" i="1" s="1"/>
  <c r="I11" i="1" s="1"/>
  <c r="J10" i="1"/>
  <c r="J6" i="22"/>
  <c r="E7" i="22" a="1"/>
  <c r="E130" i="19" a="1"/>
  <c r="E130" i="22" a="1"/>
  <c r="R11" i="37" l="1"/>
  <c r="S11" i="37"/>
  <c r="T11" i="37" s="1"/>
  <c r="U11" i="37" s="1"/>
  <c r="P12" i="37" s="1"/>
  <c r="Q12" i="37" s="1"/>
  <c r="J14" i="37"/>
  <c r="K14" i="37"/>
  <c r="L14" i="37" s="1"/>
  <c r="H15" i="37" s="1"/>
  <c r="I15" i="37" s="1"/>
  <c r="J7" i="26"/>
  <c r="R12" i="1"/>
  <c r="R13" i="1"/>
  <c r="E131" i="19"/>
  <c r="G137" i="19" s="1"/>
  <c r="E132" i="19"/>
  <c r="G138" i="19" s="1"/>
  <c r="E130" i="19"/>
  <c r="F7" i="22"/>
  <c r="G7" i="22"/>
  <c r="E7" i="22"/>
  <c r="F7" i="19"/>
  <c r="G7" i="19"/>
  <c r="E7" i="19"/>
  <c r="J11" i="1"/>
  <c r="K11" i="1"/>
  <c r="L11" i="1" s="1"/>
  <c r="H12" i="1" s="1"/>
  <c r="I12" i="1" s="1"/>
  <c r="E132" i="22"/>
  <c r="G138" i="22" s="1"/>
  <c r="E130" i="22"/>
  <c r="E131" i="22"/>
  <c r="G137" i="22" s="1"/>
  <c r="E8" i="26" a="1"/>
  <c r="P14" i="1"/>
  <c r="Q14" i="1" s="1"/>
  <c r="K15" i="37" l="1"/>
  <c r="L15" i="37" s="1"/>
  <c r="H16" i="37" s="1"/>
  <c r="I16" i="37" s="1"/>
  <c r="J15" i="37"/>
  <c r="S12" i="37"/>
  <c r="T12" i="37" s="1"/>
  <c r="U12" i="37" s="1"/>
  <c r="P13" i="37" s="1"/>
  <c r="Q13" i="37" s="1"/>
  <c r="R12" i="37"/>
  <c r="F8" i="26"/>
  <c r="E8" i="26"/>
  <c r="G8" i="26"/>
  <c r="K12" i="1"/>
  <c r="L12" i="1" s="1"/>
  <c r="H13" i="1" s="1"/>
  <c r="I13" i="1" s="1"/>
  <c r="J12" i="1"/>
  <c r="E141" i="19"/>
  <c r="G136" i="19"/>
  <c r="E8" i="22" a="1"/>
  <c r="J7" i="22"/>
  <c r="E141" i="22"/>
  <c r="G136" i="22"/>
  <c r="J7" i="19"/>
  <c r="E8" i="19" a="1"/>
  <c r="R14" i="1"/>
  <c r="S14" i="1"/>
  <c r="T14" i="1" s="1"/>
  <c r="U14" i="1" s="1"/>
  <c r="P15" i="1" s="1"/>
  <c r="Q15" i="1" s="1"/>
  <c r="S13" i="37" l="1"/>
  <c r="T13" i="37" s="1"/>
  <c r="U13" i="37" s="1"/>
  <c r="P14" i="37" s="1"/>
  <c r="Q14" i="37" s="1"/>
  <c r="R13" i="37"/>
  <c r="K16" i="37"/>
  <c r="L16" i="37" s="1"/>
  <c r="H17" i="37" s="1"/>
  <c r="I17" i="37" s="1"/>
  <c r="J16" i="37"/>
  <c r="F8" i="22"/>
  <c r="G8" i="22"/>
  <c r="E8" i="22"/>
  <c r="R15" i="1"/>
  <c r="S15" i="1"/>
  <c r="T15" i="1" s="1"/>
  <c r="U15" i="1" s="1"/>
  <c r="P16" i="1" s="1"/>
  <c r="Q16" i="1" s="1"/>
  <c r="E9" i="26" a="1"/>
  <c r="J8" i="26"/>
  <c r="K13" i="1"/>
  <c r="L13" i="1" s="1"/>
  <c r="H14" i="1" s="1"/>
  <c r="I14" i="1" s="1"/>
  <c r="J13" i="1"/>
  <c r="G8" i="19"/>
  <c r="E8" i="19"/>
  <c r="F8" i="19"/>
  <c r="S14" i="37" l="1"/>
  <c r="T14" i="37" s="1"/>
  <c r="U14" i="37" s="1"/>
  <c r="P15" i="37" s="1"/>
  <c r="Q15" i="37" s="1"/>
  <c r="S15" i="37" s="1"/>
  <c r="T15" i="37" s="1"/>
  <c r="U15" i="37" s="1"/>
  <c r="P16" i="37" s="1"/>
  <c r="Q16" i="37" s="1"/>
  <c r="R14" i="37"/>
  <c r="K17" i="37"/>
  <c r="L17" i="37" s="1"/>
  <c r="H18" i="37" s="1"/>
  <c r="I18" i="37" s="1"/>
  <c r="J17" i="37"/>
  <c r="J8" i="19"/>
  <c r="E9" i="19" a="1"/>
  <c r="E9" i="22" a="1"/>
  <c r="J8" i="22"/>
  <c r="G9" i="26"/>
  <c r="E9" i="26"/>
  <c r="F9" i="26"/>
  <c r="K14" i="1"/>
  <c r="L14" i="1" s="1"/>
  <c r="H15" i="1" s="1"/>
  <c r="I15" i="1" s="1"/>
  <c r="J14" i="1"/>
  <c r="R16" i="1"/>
  <c r="S16" i="1"/>
  <c r="T16" i="1" s="1"/>
  <c r="U16" i="1" s="1"/>
  <c r="P17" i="1" s="1"/>
  <c r="Q17" i="1" s="1"/>
  <c r="R17" i="1" s="1"/>
  <c r="R15" i="37" l="1"/>
  <c r="J18" i="37"/>
  <c r="K18" i="37"/>
  <c r="L18" i="37" s="1"/>
  <c r="H19" i="37" s="1"/>
  <c r="I19" i="37" s="1"/>
  <c r="S16" i="37"/>
  <c r="T16" i="37" s="1"/>
  <c r="U16" i="37" s="1"/>
  <c r="P17" i="37" s="1"/>
  <c r="Q17" i="37" s="1"/>
  <c r="R16" i="37"/>
  <c r="J9" i="26"/>
  <c r="E10" i="26" a="1"/>
  <c r="E10" i="26" s="1"/>
  <c r="S17" i="1"/>
  <c r="T17" i="1" s="1"/>
  <c r="U17" i="1" s="1"/>
  <c r="P18" i="1" s="1"/>
  <c r="Q18" i="1" s="1"/>
  <c r="G9" i="22"/>
  <c r="E9" i="22"/>
  <c r="F9" i="22"/>
  <c r="K15" i="1"/>
  <c r="L15" i="1" s="1"/>
  <c r="H16" i="1" s="1"/>
  <c r="I16" i="1" s="1"/>
  <c r="J15" i="1"/>
  <c r="F9" i="19"/>
  <c r="E9" i="19"/>
  <c r="G9" i="19"/>
  <c r="R17" i="37" l="1"/>
  <c r="S17" i="37"/>
  <c r="T17" i="37" s="1"/>
  <c r="U17" i="37" s="1"/>
  <c r="P18" i="37" s="1"/>
  <c r="Q18" i="37" s="1"/>
  <c r="J19" i="37"/>
  <c r="K19" i="37"/>
  <c r="L19" i="37" s="1"/>
  <c r="H20" i="37" s="1"/>
  <c r="I20" i="37" s="1"/>
  <c r="F10" i="26"/>
  <c r="G10" i="26"/>
  <c r="J9" i="19"/>
  <c r="E10" i="19" a="1"/>
  <c r="K16" i="1"/>
  <c r="L16" i="1" s="1"/>
  <c r="H17" i="1" s="1"/>
  <c r="I17" i="1" s="1"/>
  <c r="J16" i="1"/>
  <c r="S18" i="1"/>
  <c r="T18" i="1" s="1"/>
  <c r="U18" i="1" s="1"/>
  <c r="P19" i="1" s="1"/>
  <c r="Q19" i="1" s="1"/>
  <c r="S19" i="1" s="1"/>
  <c r="T19" i="1" s="1"/>
  <c r="U19" i="1" s="1"/>
  <c r="P20" i="1" s="1"/>
  <c r="Q20" i="1" s="1"/>
  <c r="R18" i="1"/>
  <c r="J9" i="22"/>
  <c r="E10" i="22" a="1"/>
  <c r="E11" i="26" a="1"/>
  <c r="K20" i="37" l="1"/>
  <c r="L20" i="37" s="1"/>
  <c r="H21" i="37" s="1"/>
  <c r="I21" i="37" s="1"/>
  <c r="J20" i="37"/>
  <c r="R18" i="37"/>
  <c r="S18" i="37"/>
  <c r="T18" i="37" s="1"/>
  <c r="U18" i="37" s="1"/>
  <c r="P19" i="37" s="1"/>
  <c r="Q19" i="37" s="1"/>
  <c r="J10" i="26"/>
  <c r="R19" i="1"/>
  <c r="E11" i="26"/>
  <c r="G11" i="26"/>
  <c r="F11" i="26"/>
  <c r="F10" i="19"/>
  <c r="E10" i="19"/>
  <c r="G10" i="19"/>
  <c r="K17" i="1"/>
  <c r="L17" i="1" s="1"/>
  <c r="H18" i="1" s="1"/>
  <c r="I18" i="1" s="1"/>
  <c r="J17" i="1"/>
  <c r="E10" i="22"/>
  <c r="F10" i="22"/>
  <c r="G10" i="22"/>
  <c r="R20" i="1"/>
  <c r="S20" i="1"/>
  <c r="T20" i="1" s="1"/>
  <c r="U20" i="1" s="1"/>
  <c r="P21" i="1" s="1"/>
  <c r="Q21" i="1" s="1"/>
  <c r="S19" i="37" l="1"/>
  <c r="T19" i="37" s="1"/>
  <c r="U19" i="37" s="1"/>
  <c r="R19" i="37"/>
  <c r="J21" i="37"/>
  <c r="K21" i="37"/>
  <c r="L21" i="37" s="1"/>
  <c r="H22" i="37" s="1"/>
  <c r="I22" i="37" s="1"/>
  <c r="K18" i="1"/>
  <c r="L18" i="1" s="1"/>
  <c r="H19" i="1" s="1"/>
  <c r="I19" i="1" s="1"/>
  <c r="J18" i="1"/>
  <c r="S21" i="1"/>
  <c r="T21" i="1" s="1"/>
  <c r="U21" i="1" s="1"/>
  <c r="P22" i="1" s="1"/>
  <c r="Q22" i="1" s="1"/>
  <c r="R21" i="1"/>
  <c r="E11" i="22" a="1"/>
  <c r="J10" i="22"/>
  <c r="E11" i="19" a="1"/>
  <c r="J10" i="19"/>
  <c r="E12" i="26" a="1"/>
  <c r="J11" i="26"/>
  <c r="K22" i="37" l="1"/>
  <c r="L22" i="37" s="1"/>
  <c r="H23" i="37" s="1"/>
  <c r="I23" i="37" s="1"/>
  <c r="J22" i="37"/>
  <c r="P20" i="37"/>
  <c r="Q20" i="37" s="1"/>
  <c r="S22" i="1"/>
  <c r="T22" i="1" s="1"/>
  <c r="U22" i="1" s="1"/>
  <c r="R22" i="1"/>
  <c r="E11" i="19"/>
  <c r="F11" i="19"/>
  <c r="G11" i="19"/>
  <c r="F12" i="26"/>
  <c r="G12" i="26"/>
  <c r="E12" i="26"/>
  <c r="E11" i="22"/>
  <c r="G11" i="22"/>
  <c r="F11" i="22"/>
  <c r="J19" i="1"/>
  <c r="K19" i="1"/>
  <c r="L19" i="1" s="1"/>
  <c r="H20" i="1" s="1"/>
  <c r="I20" i="1" s="1"/>
  <c r="R20" i="37" l="1"/>
  <c r="S20" i="37"/>
  <c r="T20" i="37" s="1"/>
  <c r="U20" i="37" s="1"/>
  <c r="P21" i="37" s="1"/>
  <c r="Q21" i="37" s="1"/>
  <c r="R21" i="37" s="1"/>
  <c r="K23" i="37"/>
  <c r="L23" i="37" s="1"/>
  <c r="H24" i="37" s="1"/>
  <c r="I24" i="37" s="1"/>
  <c r="J23" i="37"/>
  <c r="J12" i="26"/>
  <c r="J11" i="19"/>
  <c r="E12" i="19" a="1"/>
  <c r="K20" i="1"/>
  <c r="L20" i="1" s="1"/>
  <c r="H21" i="1" s="1"/>
  <c r="I21" i="1" s="1"/>
  <c r="J20" i="1"/>
  <c r="J11" i="22"/>
  <c r="E12" i="22" a="1"/>
  <c r="E13" i="26" a="1"/>
  <c r="P23" i="1"/>
  <c r="Q23" i="1" s="1"/>
  <c r="S21" i="37" l="1"/>
  <c r="T21" i="37" s="1"/>
  <c r="U21" i="37" s="1"/>
  <c r="P22" i="37" s="1"/>
  <c r="Q22" i="37" s="1"/>
  <c r="K24" i="37"/>
  <c r="L24" i="37" s="1"/>
  <c r="H25" i="37" s="1"/>
  <c r="I25" i="37" s="1"/>
  <c r="J24" i="37"/>
  <c r="E13" i="26"/>
  <c r="G13" i="26"/>
  <c r="F13" i="26"/>
  <c r="E12" i="22"/>
  <c r="G12" i="22"/>
  <c r="F12" i="22"/>
  <c r="J21" i="1"/>
  <c r="K21" i="1"/>
  <c r="L21" i="1" s="1"/>
  <c r="H22" i="1" s="1"/>
  <c r="I22" i="1" s="1"/>
  <c r="G12" i="19"/>
  <c r="E12" i="19"/>
  <c r="F12" i="19"/>
  <c r="R23" i="1"/>
  <c r="S23" i="1"/>
  <c r="T23" i="1" s="1"/>
  <c r="U23" i="1" s="1"/>
  <c r="K25" i="37" l="1"/>
  <c r="L25" i="37" s="1"/>
  <c r="H26" i="37" s="1"/>
  <c r="I26" i="37" s="1"/>
  <c r="J25" i="37"/>
  <c r="S22" i="37"/>
  <c r="T22" i="37" s="1"/>
  <c r="U22" i="37" s="1"/>
  <c r="P23" i="37" s="1"/>
  <c r="Q23" i="37" s="1"/>
  <c r="S23" i="37" s="1"/>
  <c r="T23" i="37" s="1"/>
  <c r="U23" i="37" s="1"/>
  <c r="R22" i="37"/>
  <c r="P24" i="1"/>
  <c r="Q24" i="1" s="1"/>
  <c r="S24" i="1" s="1"/>
  <c r="T24" i="1" s="1"/>
  <c r="U24" i="1" s="1"/>
  <c r="P25" i="1" s="1"/>
  <c r="Q25" i="1" s="1"/>
  <c r="E13" i="19" a="1"/>
  <c r="J12" i="19"/>
  <c r="E13" i="22" a="1"/>
  <c r="J12" i="22"/>
  <c r="K22" i="1"/>
  <c r="L22" i="1" s="1"/>
  <c r="H23" i="1" s="1"/>
  <c r="I23" i="1" s="1"/>
  <c r="J22" i="1"/>
  <c r="E14" i="26" a="1"/>
  <c r="J13" i="26"/>
  <c r="R23" i="37" l="1"/>
  <c r="P24" i="37"/>
  <c r="Q24" i="37" s="1"/>
  <c r="K26" i="37"/>
  <c r="L26" i="37" s="1"/>
  <c r="H27" i="37" s="1"/>
  <c r="I27" i="37" s="1"/>
  <c r="J26" i="37"/>
  <c r="R24" i="1"/>
  <c r="R25" i="1"/>
  <c r="S25" i="1"/>
  <c r="T25" i="1" s="1"/>
  <c r="U25" i="1" s="1"/>
  <c r="P26" i="1" s="1"/>
  <c r="Q26" i="1" s="1"/>
  <c r="E14" i="26"/>
  <c r="F14" i="26"/>
  <c r="G14" i="26"/>
  <c r="J23" i="1"/>
  <c r="K23" i="1"/>
  <c r="L23" i="1" s="1"/>
  <c r="H24" i="1" s="1"/>
  <c r="I24" i="1" s="1"/>
  <c r="G13" i="22"/>
  <c r="E13" i="22"/>
  <c r="F13" i="22"/>
  <c r="E13" i="19"/>
  <c r="G13" i="19"/>
  <c r="F13" i="19"/>
  <c r="K27" i="37" l="1"/>
  <c r="L27" i="37" s="1"/>
  <c r="H28" i="37" s="1"/>
  <c r="I28" i="37" s="1"/>
  <c r="J27" i="37"/>
  <c r="S24" i="37"/>
  <c r="T24" i="37" s="1"/>
  <c r="U24" i="37" s="1"/>
  <c r="P25" i="37" s="1"/>
  <c r="Q25" i="37" s="1"/>
  <c r="S25" i="37" s="1"/>
  <c r="T25" i="37" s="1"/>
  <c r="U25" i="37" s="1"/>
  <c r="R24" i="37"/>
  <c r="J13" i="22"/>
  <c r="E14" i="22" a="1"/>
  <c r="J13" i="19"/>
  <c r="E14" i="19" a="1"/>
  <c r="K24" i="1"/>
  <c r="L24" i="1" s="1"/>
  <c r="H25" i="1" s="1"/>
  <c r="I25" i="1" s="1"/>
  <c r="J24" i="1"/>
  <c r="S26" i="1"/>
  <c r="T26" i="1" s="1"/>
  <c r="U26" i="1" s="1"/>
  <c r="P27" i="1" s="1"/>
  <c r="Q27" i="1" s="1"/>
  <c r="R27" i="1" s="1"/>
  <c r="R26" i="1"/>
  <c r="E15" i="26" a="1"/>
  <c r="J14" i="26"/>
  <c r="R25" i="37" l="1"/>
  <c r="P26" i="37"/>
  <c r="Q26" i="37" s="1"/>
  <c r="K28" i="37"/>
  <c r="L28" i="37" s="1"/>
  <c r="H29" i="37" s="1"/>
  <c r="I29" i="37" s="1"/>
  <c r="J28" i="37"/>
  <c r="S27" i="1"/>
  <c r="T27" i="1" s="1"/>
  <c r="U27" i="1" s="1"/>
  <c r="P28" i="1" s="1"/>
  <c r="Q28" i="1" s="1"/>
  <c r="E15" i="26"/>
  <c r="F15" i="26"/>
  <c r="G15" i="26"/>
  <c r="E14" i="22"/>
  <c r="G14" i="22"/>
  <c r="F14" i="22"/>
  <c r="J25" i="1"/>
  <c r="K25" i="1"/>
  <c r="L25" i="1" s="1"/>
  <c r="H26" i="1" s="1"/>
  <c r="I26" i="1" s="1"/>
  <c r="E14" i="19"/>
  <c r="G14" i="19"/>
  <c r="F14" i="19"/>
  <c r="K29" i="37" l="1"/>
  <c r="L29" i="37" s="1"/>
  <c r="H30" i="37" s="1"/>
  <c r="I30" i="37" s="1"/>
  <c r="J29" i="37"/>
  <c r="S26" i="37"/>
  <c r="T26" i="37" s="1"/>
  <c r="U26" i="37" s="1"/>
  <c r="P27" i="37" s="1"/>
  <c r="Q27" i="37" s="1"/>
  <c r="R26" i="37"/>
  <c r="J15" i="26"/>
  <c r="J14" i="19"/>
  <c r="E15" i="19" a="1"/>
  <c r="R28" i="1"/>
  <c r="S28" i="1"/>
  <c r="T28" i="1" s="1"/>
  <c r="U28" i="1" s="1"/>
  <c r="P29" i="1" s="1"/>
  <c r="Q29" i="1" s="1"/>
  <c r="S29" i="1" s="1"/>
  <c r="T29" i="1" s="1"/>
  <c r="U29" i="1" s="1"/>
  <c r="K26" i="1"/>
  <c r="L26" i="1" s="1"/>
  <c r="H27" i="1" s="1"/>
  <c r="I27" i="1" s="1"/>
  <c r="J26" i="1"/>
  <c r="E15" i="22" a="1"/>
  <c r="J14" i="22"/>
  <c r="E16" i="26" a="1"/>
  <c r="S27" i="37" l="1"/>
  <c r="T27" i="37" s="1"/>
  <c r="U27" i="37" s="1"/>
  <c r="R27" i="37"/>
  <c r="K30" i="37"/>
  <c r="L30" i="37" s="1"/>
  <c r="H31" i="37" s="1"/>
  <c r="I31" i="37" s="1"/>
  <c r="J30" i="37"/>
  <c r="R29" i="1"/>
  <c r="F16" i="26"/>
  <c r="E16" i="26"/>
  <c r="G16" i="26"/>
  <c r="E15" i="22"/>
  <c r="G15" i="22"/>
  <c r="F15" i="22"/>
  <c r="E15" i="19"/>
  <c r="F15" i="19"/>
  <c r="G15" i="19"/>
  <c r="P30" i="1"/>
  <c r="Q30" i="1" s="1"/>
  <c r="K27" i="1"/>
  <c r="L27" i="1" s="1"/>
  <c r="H28" i="1" s="1"/>
  <c r="I28" i="1" s="1"/>
  <c r="J27" i="1"/>
  <c r="U28" i="37" l="1"/>
  <c r="P29" i="37" s="1"/>
  <c r="Q29" i="37" s="1"/>
  <c r="P28" i="37"/>
  <c r="Q28" i="37" s="1"/>
  <c r="S28" i="37" s="1"/>
  <c r="K31" i="37"/>
  <c r="L31" i="37" s="1"/>
  <c r="H32" i="37" s="1"/>
  <c r="I32" i="37" s="1"/>
  <c r="J31" i="37"/>
  <c r="J28" i="1"/>
  <c r="K28" i="1"/>
  <c r="L28" i="1" s="1"/>
  <c r="H29" i="1" s="1"/>
  <c r="I29" i="1" s="1"/>
  <c r="J15" i="22"/>
  <c r="E16" i="22" a="1"/>
  <c r="E16" i="19" a="1"/>
  <c r="J15" i="19"/>
  <c r="R30" i="1"/>
  <c r="S30" i="1"/>
  <c r="T30" i="1" s="1"/>
  <c r="U30" i="1" s="1"/>
  <c r="P31" i="1" s="1"/>
  <c r="Q31" i="1" s="1"/>
  <c r="E17" i="26" a="1"/>
  <c r="J16" i="26"/>
  <c r="R28" i="37" l="1"/>
  <c r="S29" i="37"/>
  <c r="T29" i="37" s="1"/>
  <c r="U29" i="37" s="1"/>
  <c r="P30" i="37" s="1"/>
  <c r="Q30" i="37" s="1"/>
  <c r="S30" i="37" s="1"/>
  <c r="T30" i="37" s="1"/>
  <c r="U30" i="37" s="1"/>
  <c r="R29" i="37"/>
  <c r="K32" i="37"/>
  <c r="L32" i="37" s="1"/>
  <c r="H33" i="37" s="1"/>
  <c r="I33" i="37" s="1"/>
  <c r="J32" i="37"/>
  <c r="G17" i="26"/>
  <c r="E17" i="26"/>
  <c r="F17" i="26"/>
  <c r="J17" i="26" s="1"/>
  <c r="E16" i="22"/>
  <c r="G16" i="22"/>
  <c r="F16" i="22"/>
  <c r="R31" i="1"/>
  <c r="S31" i="1"/>
  <c r="T31" i="1" s="1"/>
  <c r="U31" i="1" s="1"/>
  <c r="P32" i="1" s="1"/>
  <c r="Q32" i="1" s="1"/>
  <c r="R32" i="1" s="1"/>
  <c r="J29" i="1"/>
  <c r="K29" i="1"/>
  <c r="L29" i="1" s="1"/>
  <c r="H30" i="1" s="1"/>
  <c r="I30" i="1" s="1"/>
  <c r="G16" i="19"/>
  <c r="E16" i="19"/>
  <c r="F16" i="19"/>
  <c r="R30" i="37" l="1"/>
  <c r="P31" i="37"/>
  <c r="Q31" i="37" s="1"/>
  <c r="U31" i="37"/>
  <c r="K33" i="37"/>
  <c r="L33" i="37" s="1"/>
  <c r="H34" i="37" s="1"/>
  <c r="I34" i="37" s="1"/>
  <c r="J33" i="37"/>
  <c r="S32" i="1"/>
  <c r="T32" i="1" s="1"/>
  <c r="U32" i="1" s="1"/>
  <c r="P33" i="1" s="1"/>
  <c r="Q33" i="1" s="1"/>
  <c r="E17" i="22" a="1"/>
  <c r="J16" i="22"/>
  <c r="K30" i="1"/>
  <c r="L30" i="1" s="1"/>
  <c r="H31" i="1" s="1"/>
  <c r="I31" i="1" s="1"/>
  <c r="J30" i="1"/>
  <c r="E18" i="26" a="1"/>
  <c r="E17" i="19" a="1"/>
  <c r="J16" i="19"/>
  <c r="K34" i="37" l="1"/>
  <c r="L34" i="37" s="1"/>
  <c r="H35" i="37" s="1"/>
  <c r="I35" i="37" s="1"/>
  <c r="J34" i="37"/>
  <c r="P32" i="37"/>
  <c r="Q32" i="37" s="1"/>
  <c r="S31" i="37"/>
  <c r="R31" i="37"/>
  <c r="G18" i="26"/>
  <c r="E18" i="26"/>
  <c r="F18" i="26"/>
  <c r="G17" i="22"/>
  <c r="E17" i="22"/>
  <c r="F17" i="22"/>
  <c r="S33" i="1"/>
  <c r="T33" i="1" s="1"/>
  <c r="U33" i="1" s="1"/>
  <c r="P34" i="1" s="1"/>
  <c r="Q34" i="1" s="1"/>
  <c r="S34" i="1" s="1"/>
  <c r="T34" i="1" s="1"/>
  <c r="U34" i="1" s="1"/>
  <c r="R33" i="1"/>
  <c r="K31" i="1"/>
  <c r="L31" i="1" s="1"/>
  <c r="H32" i="1" s="1"/>
  <c r="I32" i="1" s="1"/>
  <c r="J31" i="1"/>
  <c r="F17" i="19"/>
  <c r="G17" i="19"/>
  <c r="E17" i="19"/>
  <c r="S32" i="37" l="1"/>
  <c r="T32" i="37" s="1"/>
  <c r="U32" i="37" s="1"/>
  <c r="P33" i="37" s="1"/>
  <c r="Q33" i="37" s="1"/>
  <c r="S33" i="37" s="1"/>
  <c r="T33" i="37" s="1"/>
  <c r="U33" i="37" s="1"/>
  <c r="R32" i="37"/>
  <c r="K35" i="37"/>
  <c r="L35" i="37" s="1"/>
  <c r="H36" i="37" s="1"/>
  <c r="I36" i="37" s="1"/>
  <c r="J35" i="37"/>
  <c r="R34" i="1"/>
  <c r="E19" i="26" a="1"/>
  <c r="J18" i="26"/>
  <c r="J17" i="19"/>
  <c r="E18" i="19" a="1"/>
  <c r="J17" i="22"/>
  <c r="E18" i="22" a="1"/>
  <c r="K32" i="1"/>
  <c r="L32" i="1" s="1"/>
  <c r="H33" i="1" s="1"/>
  <c r="I33" i="1" s="1"/>
  <c r="J32" i="1"/>
  <c r="P35" i="1"/>
  <c r="Q35" i="1" s="1"/>
  <c r="R33" i="37" l="1"/>
  <c r="K36" i="37"/>
  <c r="L36" i="37" s="1"/>
  <c r="H37" i="37" s="1"/>
  <c r="I37" i="37" s="1"/>
  <c r="J36" i="37"/>
  <c r="P34" i="37"/>
  <c r="Q34" i="37" s="1"/>
  <c r="K33" i="1"/>
  <c r="L33" i="1" s="1"/>
  <c r="H34" i="1" s="1"/>
  <c r="I34" i="1" s="1"/>
  <c r="J33" i="1"/>
  <c r="E18" i="22"/>
  <c r="F18" i="22"/>
  <c r="G18" i="22"/>
  <c r="F18" i="19"/>
  <c r="E18" i="19"/>
  <c r="G18" i="19"/>
  <c r="R35" i="1"/>
  <c r="S35" i="1"/>
  <c r="T35" i="1" s="1"/>
  <c r="U35" i="1" s="1"/>
  <c r="P36" i="1" s="1"/>
  <c r="Q36" i="1" s="1"/>
  <c r="G19" i="26"/>
  <c r="F19" i="26"/>
  <c r="E19" i="26"/>
  <c r="S34" i="37" l="1"/>
  <c r="T34" i="37" s="1"/>
  <c r="U34" i="37" s="1"/>
  <c r="P35" i="37" s="1"/>
  <c r="Q35" i="37" s="1"/>
  <c r="R34" i="37"/>
  <c r="K37" i="37"/>
  <c r="L37" i="37" s="1"/>
  <c r="H38" i="37" s="1"/>
  <c r="I38" i="37" s="1"/>
  <c r="J37" i="37"/>
  <c r="E20" i="26" a="1"/>
  <c r="G20" i="26" s="1"/>
  <c r="S36" i="1"/>
  <c r="T36" i="1" s="1"/>
  <c r="U36" i="1" s="1"/>
  <c r="P37" i="1" s="1"/>
  <c r="Q37" i="1" s="1"/>
  <c r="R36" i="1"/>
  <c r="J19" i="26"/>
  <c r="E19" i="19" a="1"/>
  <c r="J18" i="19"/>
  <c r="E19" i="22" a="1"/>
  <c r="J18" i="22"/>
  <c r="K34" i="1"/>
  <c r="L34" i="1" s="1"/>
  <c r="H35" i="1" s="1"/>
  <c r="I35" i="1" s="1"/>
  <c r="J34" i="1"/>
  <c r="K38" i="37" l="1"/>
  <c r="L38" i="37" s="1"/>
  <c r="H39" i="37" s="1"/>
  <c r="I39" i="37" s="1"/>
  <c r="J38" i="37"/>
  <c r="S35" i="37"/>
  <c r="T35" i="37" s="1"/>
  <c r="U35" i="37" s="1"/>
  <c r="P36" i="37" s="1"/>
  <c r="Q36" i="37" s="1"/>
  <c r="R35" i="37"/>
  <c r="E20" i="26"/>
  <c r="F20" i="26"/>
  <c r="G19" i="19"/>
  <c r="E19" i="19"/>
  <c r="F19" i="19"/>
  <c r="E21" i="26" a="1"/>
  <c r="E19" i="22"/>
  <c r="G19" i="22"/>
  <c r="F19" i="22"/>
  <c r="J20" i="26"/>
  <c r="K35" i="1"/>
  <c r="L35" i="1" s="1"/>
  <c r="H36" i="1" s="1"/>
  <c r="I36" i="1" s="1"/>
  <c r="J35" i="1"/>
  <c r="S37" i="1"/>
  <c r="T37" i="1" s="1"/>
  <c r="U37" i="1" s="1"/>
  <c r="P38" i="1" s="1"/>
  <c r="Q38" i="1" s="1"/>
  <c r="R38" i="1" s="1"/>
  <c r="R37" i="1"/>
  <c r="K39" i="37" l="1"/>
  <c r="L39" i="37" s="1"/>
  <c r="H40" i="37" s="1"/>
  <c r="I40" i="37" s="1"/>
  <c r="J39" i="37"/>
  <c r="S36" i="37"/>
  <c r="T36" i="37" s="1"/>
  <c r="U36" i="37" s="1"/>
  <c r="P37" i="37" s="1"/>
  <c r="Q37" i="37" s="1"/>
  <c r="S37" i="37" s="1"/>
  <c r="T37" i="37" s="1"/>
  <c r="U37" i="37" s="1"/>
  <c r="P38" i="37" s="1"/>
  <c r="Q38" i="37" s="1"/>
  <c r="R36" i="37"/>
  <c r="S38" i="1"/>
  <c r="T38" i="1" s="1"/>
  <c r="U38" i="1" s="1"/>
  <c r="P39" i="1" s="1"/>
  <c r="Q39" i="1" s="1"/>
  <c r="S39" i="1" s="1"/>
  <c r="T39" i="1" s="1"/>
  <c r="U39" i="1" s="1"/>
  <c r="P40" i="1" s="1"/>
  <c r="Q40" i="1" s="1"/>
  <c r="J19" i="19"/>
  <c r="E20" i="19" a="1"/>
  <c r="E21" i="26"/>
  <c r="G21" i="26"/>
  <c r="F21" i="26"/>
  <c r="K36" i="1"/>
  <c r="L36" i="1" s="1"/>
  <c r="H37" i="1" s="1"/>
  <c r="I37" i="1" s="1"/>
  <c r="J36" i="1"/>
  <c r="J19" i="22"/>
  <c r="E20" i="22" a="1"/>
  <c r="R37" i="37" l="1"/>
  <c r="S38" i="37"/>
  <c r="T38" i="37" s="1"/>
  <c r="U38" i="37" s="1"/>
  <c r="P39" i="37" s="1"/>
  <c r="Q39" i="37" s="1"/>
  <c r="R38" i="37"/>
  <c r="K40" i="37"/>
  <c r="L40" i="37" s="1"/>
  <c r="H41" i="37" s="1"/>
  <c r="I41" i="37" s="1"/>
  <c r="J40" i="37"/>
  <c r="R39" i="1"/>
  <c r="E22" i="26" a="1"/>
  <c r="R40" i="1"/>
  <c r="S40" i="1"/>
  <c r="T40" i="1" s="1"/>
  <c r="U40" i="1" s="1"/>
  <c r="P41" i="1" s="1"/>
  <c r="Q41" i="1" s="1"/>
  <c r="E20" i="22"/>
  <c r="G20" i="22"/>
  <c r="F20" i="22"/>
  <c r="J37" i="1"/>
  <c r="K37" i="1"/>
  <c r="L37" i="1" s="1"/>
  <c r="H38" i="1" s="1"/>
  <c r="I38" i="1" s="1"/>
  <c r="F20" i="19"/>
  <c r="G20" i="19"/>
  <c r="E20" i="19"/>
  <c r="J21" i="26"/>
  <c r="K41" i="37" l="1"/>
  <c r="L41" i="37" s="1"/>
  <c r="H42" i="37" s="1"/>
  <c r="I42" i="37" s="1"/>
  <c r="J41" i="37"/>
  <c r="S39" i="37"/>
  <c r="T39" i="37" s="1"/>
  <c r="U39" i="37" s="1"/>
  <c r="P40" i="37" s="1"/>
  <c r="Q40" i="37" s="1"/>
  <c r="R39" i="37"/>
  <c r="R41" i="1"/>
  <c r="S41" i="1"/>
  <c r="T41" i="1" s="1"/>
  <c r="U41" i="1" s="1"/>
  <c r="P42" i="1" s="1"/>
  <c r="Q42" i="1" s="1"/>
  <c r="K38" i="1"/>
  <c r="L38" i="1" s="1"/>
  <c r="H39" i="1" s="1"/>
  <c r="I39" i="1" s="1"/>
  <c r="J38" i="1"/>
  <c r="E21" i="22" a="1"/>
  <c r="J20" i="22"/>
  <c r="J20" i="19"/>
  <c r="E21" i="19" a="1"/>
  <c r="E22" i="26"/>
  <c r="G22" i="26"/>
  <c r="F22" i="26"/>
  <c r="J22" i="26" s="1"/>
  <c r="S40" i="37" l="1"/>
  <c r="T40" i="37" s="1"/>
  <c r="U40" i="37" s="1"/>
  <c r="P41" i="37" s="1"/>
  <c r="Q41" i="37" s="1"/>
  <c r="R40" i="37"/>
  <c r="K42" i="37"/>
  <c r="L42" i="37" s="1"/>
  <c r="H43" i="37" s="1"/>
  <c r="I43" i="37" s="1"/>
  <c r="J42" i="37"/>
  <c r="J39" i="1"/>
  <c r="K39" i="1"/>
  <c r="L39" i="1" s="1"/>
  <c r="H40" i="1" s="1"/>
  <c r="I40" i="1" s="1"/>
  <c r="E23" i="26" a="1"/>
  <c r="S42" i="1"/>
  <c r="T42" i="1" s="1"/>
  <c r="U42" i="1" s="1"/>
  <c r="P43" i="1" s="1"/>
  <c r="Q43" i="1" s="1"/>
  <c r="R42" i="1"/>
  <c r="G21" i="22"/>
  <c r="E21" i="22"/>
  <c r="F21" i="22"/>
  <c r="G21" i="19"/>
  <c r="E21" i="19"/>
  <c r="F21" i="19"/>
  <c r="K43" i="37" l="1"/>
  <c r="L43" i="37" s="1"/>
  <c r="H44" i="37" s="1"/>
  <c r="I44" i="37" s="1"/>
  <c r="J43" i="37"/>
  <c r="S41" i="37"/>
  <c r="T41" i="37" s="1"/>
  <c r="U41" i="37" s="1"/>
  <c r="P42" i="37" s="1"/>
  <c r="Q42" i="37" s="1"/>
  <c r="R41" i="37"/>
  <c r="J21" i="22"/>
  <c r="E22" i="22" a="1"/>
  <c r="K40" i="1"/>
  <c r="L40" i="1" s="1"/>
  <c r="H41" i="1" s="1"/>
  <c r="I41" i="1" s="1"/>
  <c r="J40" i="1"/>
  <c r="F23" i="26"/>
  <c r="E23" i="26"/>
  <c r="G23" i="26"/>
  <c r="E22" i="19" a="1"/>
  <c r="J21" i="19"/>
  <c r="S43" i="1"/>
  <c r="T43" i="1" s="1"/>
  <c r="U43" i="1" s="1"/>
  <c r="R43" i="1"/>
  <c r="S42" i="37" l="1"/>
  <c r="T42" i="37" s="1"/>
  <c r="U42" i="37" s="1"/>
  <c r="P43" i="37" s="1"/>
  <c r="Q43" i="37" s="1"/>
  <c r="R42" i="37"/>
  <c r="K44" i="37"/>
  <c r="L44" i="37" s="1"/>
  <c r="H45" i="37" s="1"/>
  <c r="I45" i="37" s="1"/>
  <c r="J44" i="37"/>
  <c r="K41" i="1"/>
  <c r="L41" i="1" s="1"/>
  <c r="H42" i="1" s="1"/>
  <c r="I42" i="1" s="1"/>
  <c r="J41" i="1"/>
  <c r="F22" i="22"/>
  <c r="E22" i="22"/>
  <c r="G22" i="22"/>
  <c r="E22" i="19"/>
  <c r="F22" i="19"/>
  <c r="G22" i="19"/>
  <c r="P44" i="1"/>
  <c r="Q44" i="1" s="1"/>
  <c r="E24" i="26" a="1"/>
  <c r="J23" i="26"/>
  <c r="K45" i="37" l="1"/>
  <c r="L45" i="37" s="1"/>
  <c r="H46" i="37" s="1"/>
  <c r="I46" i="37" s="1"/>
  <c r="J45" i="37"/>
  <c r="S43" i="37"/>
  <c r="T43" i="37" s="1"/>
  <c r="U43" i="37" s="1"/>
  <c r="R43" i="37"/>
  <c r="E24" i="26"/>
  <c r="F24" i="26"/>
  <c r="G24" i="26"/>
  <c r="E23" i="19" a="1"/>
  <c r="J22" i="19"/>
  <c r="J22" i="22"/>
  <c r="E23" i="22" a="1"/>
  <c r="R44" i="1"/>
  <c r="S44" i="1"/>
  <c r="T44" i="1" s="1"/>
  <c r="U44" i="1" s="1"/>
  <c r="P45" i="1" s="1"/>
  <c r="Q45" i="1" s="1"/>
  <c r="R45" i="1" s="1"/>
  <c r="K42" i="1"/>
  <c r="L42" i="1" s="1"/>
  <c r="H43" i="1" s="1"/>
  <c r="I43" i="1" s="1"/>
  <c r="J42" i="1"/>
  <c r="P44" i="37" l="1"/>
  <c r="Q44" i="37" s="1"/>
  <c r="K46" i="37"/>
  <c r="L46" i="37" s="1"/>
  <c r="H47" i="37" s="1"/>
  <c r="I47" i="37" s="1"/>
  <c r="J46" i="37"/>
  <c r="J24" i="26"/>
  <c r="S45" i="1"/>
  <c r="T45" i="1" s="1"/>
  <c r="U45" i="1" s="1"/>
  <c r="P46" i="1" s="1"/>
  <c r="Q46" i="1" s="1"/>
  <c r="E23" i="22"/>
  <c r="G23" i="22"/>
  <c r="F23" i="22"/>
  <c r="E23" i="19"/>
  <c r="F23" i="19"/>
  <c r="G23" i="19"/>
  <c r="K43" i="1"/>
  <c r="L43" i="1" s="1"/>
  <c r="H44" i="1" s="1"/>
  <c r="I44" i="1" s="1"/>
  <c r="J43" i="1"/>
  <c r="E25" i="26" a="1"/>
  <c r="K47" i="37" l="1"/>
  <c r="L47" i="37" s="1"/>
  <c r="H48" i="37" s="1"/>
  <c r="I48" i="37" s="1"/>
  <c r="J47" i="37"/>
  <c r="S44" i="37"/>
  <c r="T44" i="37" s="1"/>
  <c r="U44" i="37" s="1"/>
  <c r="P45" i="37" s="1"/>
  <c r="Q45" i="37" s="1"/>
  <c r="S45" i="37" s="1"/>
  <c r="T45" i="37" s="1"/>
  <c r="U45" i="37" s="1"/>
  <c r="R44" i="37"/>
  <c r="F25" i="26"/>
  <c r="E25" i="26"/>
  <c r="G25" i="26"/>
  <c r="J23" i="22"/>
  <c r="E24" i="22" a="1"/>
  <c r="E24" i="19" a="1"/>
  <c r="J23" i="19"/>
  <c r="S46" i="1"/>
  <c r="T46" i="1" s="1"/>
  <c r="U46" i="1" s="1"/>
  <c r="P47" i="1" s="1"/>
  <c r="Q47" i="1" s="1"/>
  <c r="S47" i="1" s="1"/>
  <c r="T47" i="1" s="1"/>
  <c r="U47" i="1" s="1"/>
  <c r="R46" i="1"/>
  <c r="K44" i="1"/>
  <c r="L44" i="1" s="1"/>
  <c r="H45" i="1" s="1"/>
  <c r="I45" i="1" s="1"/>
  <c r="J44" i="1"/>
  <c r="R45" i="37" l="1"/>
  <c r="K48" i="37"/>
  <c r="L48" i="37" s="1"/>
  <c r="H49" i="37" s="1"/>
  <c r="I49" i="37" s="1"/>
  <c r="J48" i="37"/>
  <c r="P46" i="37"/>
  <c r="Q46" i="37" s="1"/>
  <c r="R47" i="1"/>
  <c r="K45" i="1"/>
  <c r="L45" i="1" s="1"/>
  <c r="H46" i="1" s="1"/>
  <c r="I46" i="1" s="1"/>
  <c r="J45" i="1"/>
  <c r="E24" i="19"/>
  <c r="F24" i="19"/>
  <c r="G24" i="19"/>
  <c r="E26" i="26" a="1"/>
  <c r="J25" i="26"/>
  <c r="P48" i="1"/>
  <c r="Q48" i="1" s="1"/>
  <c r="F24" i="22"/>
  <c r="G24" i="22"/>
  <c r="E24" i="22"/>
  <c r="S46" i="37" l="1"/>
  <c r="T46" i="37" s="1"/>
  <c r="U46" i="37" s="1"/>
  <c r="P47" i="37" s="1"/>
  <c r="Q47" i="37" s="1"/>
  <c r="R46" i="37"/>
  <c r="K49" i="37"/>
  <c r="L49" i="37" s="1"/>
  <c r="H50" i="37" s="1"/>
  <c r="I50" i="37" s="1"/>
  <c r="J49" i="37"/>
  <c r="J24" i="22"/>
  <c r="E25" i="22" a="1"/>
  <c r="F26" i="26"/>
  <c r="E26" i="26"/>
  <c r="G26" i="26"/>
  <c r="R48" i="1"/>
  <c r="S48" i="1"/>
  <c r="T48" i="1" s="1"/>
  <c r="U48" i="1" s="1"/>
  <c r="P49" i="1" s="1"/>
  <c r="Q49" i="1" s="1"/>
  <c r="J24" i="19"/>
  <c r="E25" i="19" a="1"/>
  <c r="K46" i="1"/>
  <c r="L46" i="1" s="1"/>
  <c r="H47" i="1" s="1"/>
  <c r="I47" i="1" s="1"/>
  <c r="J46" i="1"/>
  <c r="K50" i="37" l="1"/>
  <c r="L50" i="37" s="1"/>
  <c r="H51" i="37" s="1"/>
  <c r="I51" i="37" s="1"/>
  <c r="J50" i="37"/>
  <c r="S47" i="37"/>
  <c r="T47" i="37" s="1"/>
  <c r="U47" i="37" s="1"/>
  <c r="P48" i="37" s="1"/>
  <c r="Q48" i="37" s="1"/>
  <c r="R47" i="37"/>
  <c r="J26" i="26"/>
  <c r="E27" i="26" a="1"/>
  <c r="G27" i="26" s="1"/>
  <c r="R49" i="1"/>
  <c r="S49" i="1"/>
  <c r="T49" i="1" s="1"/>
  <c r="U49" i="1" s="1"/>
  <c r="P50" i="1" s="1"/>
  <c r="Q50" i="1" s="1"/>
  <c r="G25" i="22"/>
  <c r="E25" i="22"/>
  <c r="F25" i="22"/>
  <c r="F25" i="19"/>
  <c r="E25" i="19"/>
  <c r="G25" i="19"/>
  <c r="K47" i="1"/>
  <c r="L47" i="1" s="1"/>
  <c r="H48" i="1" s="1"/>
  <c r="I48" i="1" s="1"/>
  <c r="J47" i="1"/>
  <c r="K51" i="37" l="1"/>
  <c r="L51" i="37" s="1"/>
  <c r="H52" i="37" s="1"/>
  <c r="I52" i="37" s="1"/>
  <c r="J51" i="37"/>
  <c r="S48" i="37"/>
  <c r="T48" i="37" s="1"/>
  <c r="U48" i="37" s="1"/>
  <c r="P49" i="37" s="1"/>
  <c r="Q49" i="37" s="1"/>
  <c r="S49" i="37" s="1"/>
  <c r="T49" i="37" s="1"/>
  <c r="U49" i="37" s="1"/>
  <c r="P50" i="37" s="1"/>
  <c r="Q50" i="37" s="1"/>
  <c r="R48" i="37"/>
  <c r="E27" i="26"/>
  <c r="F27" i="26"/>
  <c r="K48" i="1"/>
  <c r="L48" i="1" s="1"/>
  <c r="H49" i="1" s="1"/>
  <c r="I49" i="1" s="1"/>
  <c r="J48" i="1"/>
  <c r="J25" i="22"/>
  <c r="E26" i="22" a="1"/>
  <c r="E26" i="19" a="1"/>
  <c r="J25" i="19"/>
  <c r="S50" i="1"/>
  <c r="T50" i="1" s="1"/>
  <c r="U50" i="1" s="1"/>
  <c r="P51" i="1" s="1"/>
  <c r="Q51" i="1" s="1"/>
  <c r="R50" i="1"/>
  <c r="R49" i="37" l="1"/>
  <c r="K52" i="37"/>
  <c r="L52" i="37" s="1"/>
  <c r="H53" i="37" s="1"/>
  <c r="I53" i="37" s="1"/>
  <c r="J52" i="37"/>
  <c r="S50" i="37"/>
  <c r="T50" i="37" s="1"/>
  <c r="U50" i="37" s="1"/>
  <c r="P51" i="37" s="1"/>
  <c r="Q51" i="37" s="1"/>
  <c r="R50" i="37"/>
  <c r="J27" i="26"/>
  <c r="E28" i="26" a="1"/>
  <c r="F28" i="26" s="1"/>
  <c r="F26" i="22"/>
  <c r="G26" i="22"/>
  <c r="E26" i="22"/>
  <c r="S51" i="1"/>
  <c r="T51" i="1" s="1"/>
  <c r="U51" i="1" s="1"/>
  <c r="P52" i="1" s="1"/>
  <c r="Q52" i="1" s="1"/>
  <c r="R51" i="1"/>
  <c r="F26" i="19"/>
  <c r="G26" i="19"/>
  <c r="E26" i="19"/>
  <c r="J49" i="1"/>
  <c r="K49" i="1"/>
  <c r="L49" i="1" s="1"/>
  <c r="H50" i="1" s="1"/>
  <c r="I50" i="1" s="1"/>
  <c r="S51" i="37" l="1"/>
  <c r="T51" i="37" s="1"/>
  <c r="U51" i="37" s="1"/>
  <c r="R51" i="37"/>
  <c r="K53" i="37"/>
  <c r="L53" i="37" s="1"/>
  <c r="H54" i="37" s="1"/>
  <c r="I54" i="37" s="1"/>
  <c r="J53" i="37"/>
  <c r="G28" i="26"/>
  <c r="J28" i="26" s="1"/>
  <c r="E28" i="26"/>
  <c r="K50" i="1"/>
  <c r="L50" i="1" s="1"/>
  <c r="H51" i="1" s="1"/>
  <c r="I51" i="1" s="1"/>
  <c r="J50" i="1"/>
  <c r="S52" i="1"/>
  <c r="T52" i="1" s="1"/>
  <c r="U52" i="1" s="1"/>
  <c r="R52" i="1"/>
  <c r="J26" i="22"/>
  <c r="E27" i="22" a="1"/>
  <c r="E29" i="26" a="1"/>
  <c r="E27" i="19" a="1"/>
  <c r="J26" i="19"/>
  <c r="K54" i="37" l="1"/>
  <c r="L54" i="37" s="1"/>
  <c r="H55" i="37" s="1"/>
  <c r="I55" i="37" s="1"/>
  <c r="J54" i="37"/>
  <c r="P52" i="37"/>
  <c r="Q52" i="37" s="1"/>
  <c r="P53" i="1"/>
  <c r="Q53" i="1" s="1"/>
  <c r="S53" i="1" s="1"/>
  <c r="T53" i="1" s="1"/>
  <c r="U53" i="1" s="1"/>
  <c r="P54" i="1" s="1"/>
  <c r="Q54" i="1" s="1"/>
  <c r="E27" i="22"/>
  <c r="G27" i="22"/>
  <c r="F27" i="22"/>
  <c r="E27" i="19"/>
  <c r="F27" i="19"/>
  <c r="G27" i="19"/>
  <c r="K51" i="1"/>
  <c r="L51" i="1" s="1"/>
  <c r="H52" i="1" s="1"/>
  <c r="I52" i="1" s="1"/>
  <c r="J51" i="1"/>
  <c r="E29" i="26"/>
  <c r="G29" i="26"/>
  <c r="F29" i="26"/>
  <c r="S52" i="37" l="1"/>
  <c r="T52" i="37" s="1"/>
  <c r="U52" i="37" s="1"/>
  <c r="P53" i="37" s="1"/>
  <c r="Q53" i="37" s="1"/>
  <c r="R52" i="37"/>
  <c r="K55" i="37"/>
  <c r="L55" i="37" s="1"/>
  <c r="H56" i="37" s="1"/>
  <c r="I56" i="37" s="1"/>
  <c r="J55" i="37"/>
  <c r="E30" i="26" a="1"/>
  <c r="E30" i="26" s="1"/>
  <c r="R53" i="1"/>
  <c r="S54" i="1"/>
  <c r="T54" i="1" s="1"/>
  <c r="U54" i="1" s="1"/>
  <c r="P55" i="1" s="1"/>
  <c r="Q55" i="1" s="1"/>
  <c r="R54" i="1"/>
  <c r="E28" i="19" a="1"/>
  <c r="J27" i="19"/>
  <c r="K52" i="1"/>
  <c r="L52" i="1" s="1"/>
  <c r="H53" i="1" s="1"/>
  <c r="I53" i="1" s="1"/>
  <c r="J52" i="1"/>
  <c r="J29" i="26"/>
  <c r="J27" i="22"/>
  <c r="E28" i="22" a="1"/>
  <c r="K56" i="37" l="1"/>
  <c r="L56" i="37" s="1"/>
  <c r="H57" i="37" s="1"/>
  <c r="I57" i="37" s="1"/>
  <c r="J56" i="37"/>
  <c r="S53" i="37"/>
  <c r="T53" i="37" s="1"/>
  <c r="U53" i="37" s="1"/>
  <c r="P54" i="37" s="1"/>
  <c r="Q54" i="37" s="1"/>
  <c r="R53" i="37"/>
  <c r="G30" i="26"/>
  <c r="F30" i="26"/>
  <c r="F28" i="22"/>
  <c r="E28" i="22"/>
  <c r="G28" i="22"/>
  <c r="J53" i="1"/>
  <c r="K53" i="1"/>
  <c r="L53" i="1" s="1"/>
  <c r="H54" i="1" s="1"/>
  <c r="I54" i="1" s="1"/>
  <c r="F28" i="19"/>
  <c r="G28" i="19"/>
  <c r="E28" i="19"/>
  <c r="R55" i="1"/>
  <c r="S55" i="1"/>
  <c r="T55" i="1" s="1"/>
  <c r="U55" i="1" s="1"/>
  <c r="P56" i="1" s="1"/>
  <c r="Q56" i="1" s="1"/>
  <c r="J57" i="37" l="1"/>
  <c r="K57" i="37"/>
  <c r="L57" i="37" s="1"/>
  <c r="H58" i="37" s="1"/>
  <c r="I58" i="37" s="1"/>
  <c r="S54" i="37"/>
  <c r="T54" i="37" s="1"/>
  <c r="U54" i="37" s="1"/>
  <c r="P55" i="37" s="1"/>
  <c r="Q55" i="37" s="1"/>
  <c r="R54" i="37"/>
  <c r="E31" i="26" a="1"/>
  <c r="G31" i="26" s="1"/>
  <c r="J30" i="26"/>
  <c r="E29" i="19" a="1"/>
  <c r="J28" i="19"/>
  <c r="J28" i="22"/>
  <c r="E29" i="22" a="1"/>
  <c r="R56" i="1"/>
  <c r="S56" i="1"/>
  <c r="T56" i="1" s="1"/>
  <c r="U56" i="1" s="1"/>
  <c r="P57" i="1" s="1"/>
  <c r="Q57" i="1" s="1"/>
  <c r="K54" i="1"/>
  <c r="L54" i="1" s="1"/>
  <c r="H55" i="1" s="1"/>
  <c r="I55" i="1" s="1"/>
  <c r="J54" i="1"/>
  <c r="J58" i="37" l="1"/>
  <c r="K58" i="37"/>
  <c r="L58" i="37" s="1"/>
  <c r="H59" i="37" s="1"/>
  <c r="I59" i="37" s="1"/>
  <c r="S55" i="37"/>
  <c r="T55" i="37" s="1"/>
  <c r="U55" i="37" s="1"/>
  <c r="P56" i="37" s="1"/>
  <c r="Q56" i="37" s="1"/>
  <c r="S56" i="37" s="1"/>
  <c r="T56" i="37" s="1"/>
  <c r="U56" i="37" s="1"/>
  <c r="P57" i="37" s="1"/>
  <c r="Q57" i="37" s="1"/>
  <c r="R55" i="37"/>
  <c r="E31" i="26"/>
  <c r="F31" i="26"/>
  <c r="S57" i="1"/>
  <c r="T57" i="1" s="1"/>
  <c r="U57" i="1" s="1"/>
  <c r="R57" i="1"/>
  <c r="K55" i="1"/>
  <c r="L55" i="1" s="1"/>
  <c r="H56" i="1" s="1"/>
  <c r="I56" i="1" s="1"/>
  <c r="J55" i="1"/>
  <c r="G29" i="22"/>
  <c r="E29" i="22"/>
  <c r="F29" i="22"/>
  <c r="E29" i="19"/>
  <c r="F29" i="19"/>
  <c r="G29" i="19"/>
  <c r="R56" i="37" l="1"/>
  <c r="K59" i="37"/>
  <c r="L59" i="37" s="1"/>
  <c r="H60" i="37" s="1"/>
  <c r="I60" i="37" s="1"/>
  <c r="J59" i="37"/>
  <c r="R57" i="37"/>
  <c r="S57" i="37"/>
  <c r="T57" i="37" s="1"/>
  <c r="U57" i="37" s="1"/>
  <c r="E32" i="26" a="1"/>
  <c r="F32" i="26" s="1"/>
  <c r="J31" i="26"/>
  <c r="P58" i="1"/>
  <c r="Q58" i="1" s="1"/>
  <c r="R58" i="1" s="1"/>
  <c r="J29" i="22"/>
  <c r="E30" i="22" a="1"/>
  <c r="E30" i="19" a="1"/>
  <c r="J29" i="19"/>
  <c r="K56" i="1"/>
  <c r="L56" i="1" s="1"/>
  <c r="H57" i="1" s="1"/>
  <c r="I57" i="1" s="1"/>
  <c r="J56" i="1"/>
  <c r="P58" i="37" l="1"/>
  <c r="Q58" i="37" s="1"/>
  <c r="U58" i="37"/>
  <c r="J60" i="37"/>
  <c r="K60" i="37"/>
  <c r="L60" i="37" s="1"/>
  <c r="H61" i="37" s="1"/>
  <c r="I61" i="37" s="1"/>
  <c r="G32" i="26"/>
  <c r="E32" i="26"/>
  <c r="J32" i="26" s="1"/>
  <c r="S58" i="1"/>
  <c r="T58" i="1" s="1"/>
  <c r="U58" i="1" s="1"/>
  <c r="P59" i="1" s="1"/>
  <c r="Q59" i="1" s="1"/>
  <c r="S59" i="1" s="1"/>
  <c r="T59" i="1" s="1"/>
  <c r="U59" i="1" s="1"/>
  <c r="P60" i="1" s="1"/>
  <c r="Q60" i="1" s="1"/>
  <c r="J57" i="1"/>
  <c r="K57" i="1"/>
  <c r="L57" i="1" s="1"/>
  <c r="H58" i="1" s="1"/>
  <c r="I58" i="1" s="1"/>
  <c r="E30" i="19"/>
  <c r="F30" i="19"/>
  <c r="G30" i="19"/>
  <c r="F30" i="22"/>
  <c r="E30" i="22"/>
  <c r="G30" i="22"/>
  <c r="K61" i="37" l="1"/>
  <c r="L61" i="37" s="1"/>
  <c r="H62" i="37" s="1"/>
  <c r="I62" i="37" s="1"/>
  <c r="J61" i="37"/>
  <c r="P59" i="37"/>
  <c r="Q59" i="37" s="1"/>
  <c r="S58" i="37"/>
  <c r="R58" i="37"/>
  <c r="E33" i="26" a="1"/>
  <c r="G33" i="26" s="1"/>
  <c r="R59" i="1"/>
  <c r="J30" i="22"/>
  <c r="E31" i="22" a="1"/>
  <c r="E31" i="19" a="1"/>
  <c r="J30" i="19"/>
  <c r="K58" i="1"/>
  <c r="L58" i="1" s="1"/>
  <c r="H59" i="1" s="1"/>
  <c r="I59" i="1" s="1"/>
  <c r="J58" i="1"/>
  <c r="R60" i="1"/>
  <c r="S60" i="1"/>
  <c r="T60" i="1" s="1"/>
  <c r="U60" i="1" s="1"/>
  <c r="P61" i="1" s="1"/>
  <c r="Q61" i="1" s="1"/>
  <c r="S61" i="1" s="1"/>
  <c r="T61" i="1" s="1"/>
  <c r="U61" i="1" s="1"/>
  <c r="P62" i="1" s="1"/>
  <c r="Q62" i="1" s="1"/>
  <c r="R59" i="37" l="1"/>
  <c r="S59" i="37"/>
  <c r="T59" i="37" s="1"/>
  <c r="U59" i="37" s="1"/>
  <c r="J62" i="37"/>
  <c r="K62" i="37"/>
  <c r="L62" i="37" s="1"/>
  <c r="H63" i="37" s="1"/>
  <c r="I63" i="37" s="1"/>
  <c r="E33" i="26"/>
  <c r="F33" i="26"/>
  <c r="E34" i="26" s="1" a="1"/>
  <c r="E34" i="26" s="1"/>
  <c r="R61" i="1"/>
  <c r="J59" i="1"/>
  <c r="K59" i="1"/>
  <c r="L59" i="1" s="1"/>
  <c r="H60" i="1" s="1"/>
  <c r="I60" i="1" s="1"/>
  <c r="R62" i="1"/>
  <c r="S62" i="1"/>
  <c r="T62" i="1" s="1"/>
  <c r="U62" i="1" s="1"/>
  <c r="G31" i="19"/>
  <c r="E31" i="19"/>
  <c r="F31" i="19"/>
  <c r="E31" i="22"/>
  <c r="G31" i="22"/>
  <c r="F31" i="22"/>
  <c r="P60" i="37" l="1"/>
  <c r="Q60" i="37" s="1"/>
  <c r="R60" i="37" s="1"/>
  <c r="J63" i="37"/>
  <c r="K63" i="37"/>
  <c r="L63" i="37" s="1"/>
  <c r="H64" i="37" s="1"/>
  <c r="I64" i="37" s="1"/>
  <c r="J33" i="26"/>
  <c r="G34" i="26"/>
  <c r="F34" i="26"/>
  <c r="J31" i="22"/>
  <c r="E32" i="22" a="1"/>
  <c r="P63" i="1"/>
  <c r="Q63" i="1" s="1"/>
  <c r="E32" i="19" a="1"/>
  <c r="J31" i="19"/>
  <c r="K60" i="1"/>
  <c r="L60" i="1" s="1"/>
  <c r="H61" i="1" s="1"/>
  <c r="I61" i="1" s="1"/>
  <c r="J60" i="1"/>
  <c r="S60" i="37" l="1"/>
  <c r="T60" i="37" s="1"/>
  <c r="U60" i="37" s="1"/>
  <c r="P61" i="37" s="1"/>
  <c r="Q61" i="37" s="1"/>
  <c r="S61" i="37" s="1"/>
  <c r="T61" i="37" s="1"/>
  <c r="U61" i="37" s="1"/>
  <c r="P62" i="37" s="1"/>
  <c r="Q62" i="37" s="1"/>
  <c r="R62" i="37" s="1"/>
  <c r="J64" i="37"/>
  <c r="K64" i="37"/>
  <c r="L64" i="37" s="1"/>
  <c r="H65" i="37" s="1"/>
  <c r="I65" i="37" s="1"/>
  <c r="J34" i="26"/>
  <c r="E35" i="26" a="1"/>
  <c r="G35" i="26" s="1"/>
  <c r="K61" i="1"/>
  <c r="L61" i="1" s="1"/>
  <c r="H62" i="1" s="1"/>
  <c r="I62" i="1" s="1"/>
  <c r="J61" i="1"/>
  <c r="S63" i="1"/>
  <c r="T63" i="1" s="1"/>
  <c r="U63" i="1" s="1"/>
  <c r="P64" i="1" s="1"/>
  <c r="Q64" i="1" s="1"/>
  <c r="R64" i="1" s="1"/>
  <c r="R63" i="1"/>
  <c r="F32" i="22"/>
  <c r="E32" i="22"/>
  <c r="G32" i="22"/>
  <c r="E32" i="19"/>
  <c r="F32" i="19"/>
  <c r="G32" i="19"/>
  <c r="R61" i="37" l="1"/>
  <c r="S62" i="37"/>
  <c r="T62" i="37" s="1"/>
  <c r="U62" i="37" s="1"/>
  <c r="P63" i="37" s="1"/>
  <c r="Q63" i="37" s="1"/>
  <c r="R63" i="37" s="1"/>
  <c r="J65" i="37"/>
  <c r="K65" i="37"/>
  <c r="L65" i="37" s="1"/>
  <c r="H66" i="37" s="1"/>
  <c r="I66" i="37" s="1"/>
  <c r="E35" i="26"/>
  <c r="F35" i="26"/>
  <c r="S64" i="1"/>
  <c r="T64" i="1" s="1"/>
  <c r="U64" i="1" s="1"/>
  <c r="P65" i="1" s="1"/>
  <c r="Q65" i="1" s="1"/>
  <c r="S65" i="1" s="1"/>
  <c r="T65" i="1" s="1"/>
  <c r="U65" i="1" s="1"/>
  <c r="P66" i="1" s="1"/>
  <c r="Q66" i="1" s="1"/>
  <c r="J32" i="22"/>
  <c r="E33" i="22" a="1"/>
  <c r="J32" i="19"/>
  <c r="E33" i="19" a="1"/>
  <c r="K62" i="1"/>
  <c r="L62" i="1" s="1"/>
  <c r="H63" i="1" s="1"/>
  <c r="I63" i="1" s="1"/>
  <c r="J62" i="1"/>
  <c r="S63" i="37" l="1"/>
  <c r="T63" i="37" s="1"/>
  <c r="U63" i="37" s="1"/>
  <c r="P64" i="37" s="1"/>
  <c r="Q64" i="37" s="1"/>
  <c r="R64" i="37" s="1"/>
  <c r="K66" i="37"/>
  <c r="L66" i="37" s="1"/>
  <c r="H67" i="37" s="1"/>
  <c r="I67" i="37" s="1"/>
  <c r="J66" i="37"/>
  <c r="J35" i="26"/>
  <c r="E36" i="26" a="1"/>
  <c r="R65" i="1"/>
  <c r="R66" i="1"/>
  <c r="S66" i="1"/>
  <c r="T66" i="1" s="1"/>
  <c r="U66" i="1" s="1"/>
  <c r="G33" i="19"/>
  <c r="E33" i="19"/>
  <c r="F33" i="19"/>
  <c r="G33" i="22"/>
  <c r="E33" i="22"/>
  <c r="F33" i="22"/>
  <c r="J63" i="1"/>
  <c r="K63" i="1"/>
  <c r="L63" i="1" s="1"/>
  <c r="H64" i="1" s="1"/>
  <c r="I64" i="1" s="1"/>
  <c r="S64" i="37" l="1"/>
  <c r="T64" i="37" s="1"/>
  <c r="U64" i="37" s="1"/>
  <c r="P65" i="37" s="1"/>
  <c r="Q65" i="37" s="1"/>
  <c r="J67" i="37"/>
  <c r="K67" i="37"/>
  <c r="L67" i="37" s="1"/>
  <c r="H68" i="37" s="1"/>
  <c r="I68" i="37" s="1"/>
  <c r="E36" i="26"/>
  <c r="F36" i="26"/>
  <c r="G36" i="26"/>
  <c r="E34" i="19" a="1"/>
  <c r="J33" i="19"/>
  <c r="J33" i="22"/>
  <c r="E34" i="22" a="1"/>
  <c r="J64" i="1"/>
  <c r="K64" i="1"/>
  <c r="L64" i="1" s="1"/>
  <c r="H65" i="1" s="1"/>
  <c r="I65" i="1" s="1"/>
  <c r="P67" i="1"/>
  <c r="Q67" i="1" s="1"/>
  <c r="K68" i="37" l="1"/>
  <c r="L68" i="37" s="1"/>
  <c r="H69" i="37" s="1"/>
  <c r="I69" i="37" s="1"/>
  <c r="J68" i="37"/>
  <c r="R65" i="37"/>
  <c r="S65" i="37"/>
  <c r="T65" i="37" s="1"/>
  <c r="U65" i="37" s="1"/>
  <c r="P66" i="37" s="1"/>
  <c r="Q66" i="37" s="1"/>
  <c r="E37" i="26" a="1"/>
  <c r="J36" i="26"/>
  <c r="F34" i="22"/>
  <c r="G34" i="22"/>
  <c r="E34" i="22"/>
  <c r="K65" i="1"/>
  <c r="L65" i="1" s="1"/>
  <c r="H66" i="1" s="1"/>
  <c r="I66" i="1" s="1"/>
  <c r="J65" i="1"/>
  <c r="R67" i="1"/>
  <c r="S67" i="1"/>
  <c r="T67" i="1" s="1"/>
  <c r="U67" i="1" s="1"/>
  <c r="P68" i="1" s="1"/>
  <c r="Q68" i="1" s="1"/>
  <c r="S68" i="1" s="1"/>
  <c r="T68" i="1" s="1"/>
  <c r="U68" i="1" s="1"/>
  <c r="P69" i="1" s="1"/>
  <c r="Q69" i="1" s="1"/>
  <c r="E34" i="19"/>
  <c r="F34" i="19"/>
  <c r="G34" i="19"/>
  <c r="R66" i="37" l="1"/>
  <c r="S66" i="37"/>
  <c r="T66" i="37" s="1"/>
  <c r="U66" i="37" s="1"/>
  <c r="P67" i="37" s="1"/>
  <c r="Q67" i="37" s="1"/>
  <c r="S67" i="37" s="1"/>
  <c r="T67" i="37" s="1"/>
  <c r="U67" i="37" s="1"/>
  <c r="J69" i="37"/>
  <c r="K69" i="37"/>
  <c r="L69" i="37" s="1"/>
  <c r="H70" i="37" s="1"/>
  <c r="I70" i="37" s="1"/>
  <c r="E37" i="26"/>
  <c r="F37" i="26"/>
  <c r="G37" i="26"/>
  <c r="R68" i="1"/>
  <c r="J34" i="19"/>
  <c r="E35" i="19" a="1"/>
  <c r="K66" i="1"/>
  <c r="L66" i="1" s="1"/>
  <c r="H67" i="1" s="1"/>
  <c r="I67" i="1" s="1"/>
  <c r="J66" i="1"/>
  <c r="J34" i="22"/>
  <c r="E35" i="22" a="1"/>
  <c r="S69" i="1"/>
  <c r="T69" i="1" s="1"/>
  <c r="U69" i="1" s="1"/>
  <c r="R69" i="1"/>
  <c r="R67" i="37" l="1"/>
  <c r="P68" i="37"/>
  <c r="Q68" i="37" s="1"/>
  <c r="K70" i="37"/>
  <c r="L70" i="37" s="1"/>
  <c r="H71" i="37" s="1"/>
  <c r="I71" i="37" s="1"/>
  <c r="J70" i="37"/>
  <c r="J37" i="26"/>
  <c r="E38" i="26" a="1"/>
  <c r="G35" i="19"/>
  <c r="E35" i="19"/>
  <c r="F35" i="19"/>
  <c r="E35" i="22"/>
  <c r="G35" i="22"/>
  <c r="F35" i="22"/>
  <c r="P70" i="1"/>
  <c r="Q70" i="1" s="1"/>
  <c r="K67" i="1"/>
  <c r="L67" i="1" s="1"/>
  <c r="H68" i="1" s="1"/>
  <c r="I68" i="1" s="1"/>
  <c r="J67" i="1"/>
  <c r="J71" i="37" l="1"/>
  <c r="K71" i="37"/>
  <c r="L71" i="37" s="1"/>
  <c r="H72" i="37" s="1"/>
  <c r="I72" i="37" s="1"/>
  <c r="R68" i="37"/>
  <c r="S68" i="37"/>
  <c r="T68" i="37" s="1"/>
  <c r="U68" i="37" s="1"/>
  <c r="P69" i="37" s="1"/>
  <c r="Q69" i="37" s="1"/>
  <c r="S69" i="37" s="1"/>
  <c r="T69" i="37" s="1"/>
  <c r="U69" i="37" s="1"/>
  <c r="E38" i="26"/>
  <c r="F38" i="26"/>
  <c r="G38" i="26"/>
  <c r="J35" i="22"/>
  <c r="E36" i="22" a="1"/>
  <c r="J35" i="19"/>
  <c r="E36" i="19" a="1"/>
  <c r="K68" i="1"/>
  <c r="L68" i="1" s="1"/>
  <c r="H69" i="1" s="1"/>
  <c r="I69" i="1" s="1"/>
  <c r="J68" i="1"/>
  <c r="R70" i="1"/>
  <c r="S70" i="1"/>
  <c r="T70" i="1" s="1"/>
  <c r="U70" i="1" s="1"/>
  <c r="P71" i="1" s="1"/>
  <c r="Q71" i="1" s="1"/>
  <c r="S71" i="1" s="1"/>
  <c r="T71" i="1" s="1"/>
  <c r="U71" i="1" s="1"/>
  <c r="R69" i="37" l="1"/>
  <c r="P70" i="37"/>
  <c r="Q70" i="37" s="1"/>
  <c r="K72" i="37"/>
  <c r="L72" i="37" s="1"/>
  <c r="H73" i="37" s="1"/>
  <c r="I73" i="37" s="1"/>
  <c r="J72" i="37"/>
  <c r="E39" i="26" a="1"/>
  <c r="J38" i="26"/>
  <c r="R71" i="1"/>
  <c r="J69" i="1"/>
  <c r="K69" i="1"/>
  <c r="L69" i="1" s="1"/>
  <c r="H70" i="1" s="1"/>
  <c r="I70" i="1" s="1"/>
  <c r="G36" i="19"/>
  <c r="E36" i="19"/>
  <c r="F36" i="19"/>
  <c r="F36" i="22"/>
  <c r="E36" i="22"/>
  <c r="G36" i="22"/>
  <c r="P72" i="1"/>
  <c r="Q72" i="1" s="1"/>
  <c r="K73" i="37" l="1"/>
  <c r="L73" i="37" s="1"/>
  <c r="H74" i="37" s="1"/>
  <c r="I74" i="37" s="1"/>
  <c r="J73" i="37"/>
  <c r="R70" i="37"/>
  <c r="S70" i="37"/>
  <c r="T70" i="37" s="1"/>
  <c r="U70" i="37" s="1"/>
  <c r="P71" i="37" s="1"/>
  <c r="Q71" i="37" s="1"/>
  <c r="S71" i="37" s="1"/>
  <c r="T71" i="37" s="1"/>
  <c r="U71" i="37" s="1"/>
  <c r="P72" i="37" s="1"/>
  <c r="Q72" i="37" s="1"/>
  <c r="F39" i="26"/>
  <c r="E39" i="26"/>
  <c r="G39" i="26"/>
  <c r="E37" i="19" a="1"/>
  <c r="J36" i="19"/>
  <c r="J36" i="22"/>
  <c r="E37" i="22" a="1"/>
  <c r="K70" i="1"/>
  <c r="L70" i="1" s="1"/>
  <c r="H71" i="1" s="1"/>
  <c r="I71" i="1" s="1"/>
  <c r="J70" i="1"/>
  <c r="S72" i="1"/>
  <c r="T72" i="1" s="1"/>
  <c r="U72" i="1" s="1"/>
  <c r="P73" i="1" s="1"/>
  <c r="Q73" i="1" s="1"/>
  <c r="R73" i="1" s="1"/>
  <c r="R72" i="1"/>
  <c r="R71" i="37" l="1"/>
  <c r="R72" i="37"/>
  <c r="S72" i="37"/>
  <c r="T72" i="37" s="1"/>
  <c r="U72" i="37" s="1"/>
  <c r="P73" i="37" s="1"/>
  <c r="Q73" i="37" s="1"/>
  <c r="K74" i="37"/>
  <c r="L74" i="37" s="1"/>
  <c r="H75" i="37" s="1"/>
  <c r="I75" i="37" s="1"/>
  <c r="J74" i="37"/>
  <c r="J39" i="26"/>
  <c r="E40" i="26" a="1"/>
  <c r="S73" i="1"/>
  <c r="T73" i="1" s="1"/>
  <c r="U73" i="1" s="1"/>
  <c r="P74" i="1" s="1"/>
  <c r="Q74" i="1" s="1"/>
  <c r="E37" i="19"/>
  <c r="F37" i="19"/>
  <c r="G37" i="19"/>
  <c r="G37" i="22"/>
  <c r="E37" i="22"/>
  <c r="F37" i="22"/>
  <c r="K71" i="1"/>
  <c r="L71" i="1" s="1"/>
  <c r="H72" i="1" s="1"/>
  <c r="I72" i="1" s="1"/>
  <c r="J71" i="1"/>
  <c r="K75" i="37" l="1"/>
  <c r="L75" i="37" s="1"/>
  <c r="H76" i="37" s="1"/>
  <c r="I76" i="37" s="1"/>
  <c r="J75" i="37"/>
  <c r="S73" i="37"/>
  <c r="T73" i="37" s="1"/>
  <c r="U73" i="37" s="1"/>
  <c r="R73" i="37"/>
  <c r="F40" i="26"/>
  <c r="G40" i="26"/>
  <c r="E40" i="26"/>
  <c r="J37" i="22"/>
  <c r="E38" i="22" a="1"/>
  <c r="E38" i="19" a="1"/>
  <c r="J37" i="19"/>
  <c r="K72" i="1"/>
  <c r="L72" i="1" s="1"/>
  <c r="H73" i="1" s="1"/>
  <c r="I73" i="1" s="1"/>
  <c r="J72" i="1"/>
  <c r="S74" i="1"/>
  <c r="T74" i="1" s="1"/>
  <c r="U74" i="1" s="1"/>
  <c r="P75" i="1" s="1"/>
  <c r="Q75" i="1" s="1"/>
  <c r="R74" i="1"/>
  <c r="P74" i="37" l="1"/>
  <c r="Q74" i="37" s="1"/>
  <c r="K76" i="37"/>
  <c r="L76" i="37" s="1"/>
  <c r="H77" i="37" s="1"/>
  <c r="I77" i="37" s="1"/>
  <c r="J76" i="37"/>
  <c r="J40" i="26"/>
  <c r="E41" i="26" a="1"/>
  <c r="K73" i="1"/>
  <c r="L73" i="1" s="1"/>
  <c r="H74" i="1" s="1"/>
  <c r="I74" i="1" s="1"/>
  <c r="J73" i="1"/>
  <c r="S75" i="1"/>
  <c r="T75" i="1" s="1"/>
  <c r="U75" i="1" s="1"/>
  <c r="P76" i="1" s="1"/>
  <c r="Q76" i="1" s="1"/>
  <c r="R75" i="1"/>
  <c r="F38" i="19"/>
  <c r="G38" i="19"/>
  <c r="E38" i="19"/>
  <c r="F38" i="22"/>
  <c r="E38" i="22"/>
  <c r="G38" i="22"/>
  <c r="K77" i="37" l="1"/>
  <c r="L77" i="37" s="1"/>
  <c r="H78" i="37" s="1"/>
  <c r="I78" i="37" s="1"/>
  <c r="J77" i="37"/>
  <c r="S74" i="37"/>
  <c r="T74" i="37" s="1"/>
  <c r="U74" i="37" s="1"/>
  <c r="P75" i="37" s="1"/>
  <c r="Q75" i="37" s="1"/>
  <c r="S75" i="37" s="1"/>
  <c r="T75" i="37" s="1"/>
  <c r="U75" i="37" s="1"/>
  <c r="P76" i="37" s="1"/>
  <c r="Q76" i="37" s="1"/>
  <c r="R74" i="37"/>
  <c r="F41" i="26"/>
  <c r="G41" i="26"/>
  <c r="E41" i="26"/>
  <c r="S76" i="1"/>
  <c r="T76" i="1" s="1"/>
  <c r="U76" i="1" s="1"/>
  <c r="P77" i="1" s="1"/>
  <c r="Q77" i="1" s="1"/>
  <c r="R76" i="1"/>
  <c r="J38" i="22"/>
  <c r="E39" i="22" a="1"/>
  <c r="K74" i="1"/>
  <c r="L74" i="1" s="1"/>
  <c r="H75" i="1" s="1"/>
  <c r="I75" i="1" s="1"/>
  <c r="J74" i="1"/>
  <c r="E39" i="19" a="1"/>
  <c r="J38" i="19"/>
  <c r="R75" i="37" l="1"/>
  <c r="S76" i="37"/>
  <c r="T76" i="37" s="1"/>
  <c r="U76" i="37" s="1"/>
  <c r="P77" i="37" s="1"/>
  <c r="Q77" i="37" s="1"/>
  <c r="R76" i="37"/>
  <c r="K78" i="37"/>
  <c r="L78" i="37" s="1"/>
  <c r="H79" i="37" s="1"/>
  <c r="I79" i="37" s="1"/>
  <c r="J78" i="37"/>
  <c r="J41" i="26"/>
  <c r="E42" i="26" a="1"/>
  <c r="S77" i="1"/>
  <c r="T77" i="1" s="1"/>
  <c r="U77" i="1" s="1"/>
  <c r="P78" i="1" s="1"/>
  <c r="Q78" i="1" s="1"/>
  <c r="R78" i="1" s="1"/>
  <c r="R77" i="1"/>
  <c r="J75" i="1"/>
  <c r="K75" i="1"/>
  <c r="L75" i="1" s="1"/>
  <c r="H76" i="1" s="1"/>
  <c r="I76" i="1" s="1"/>
  <c r="E39" i="19"/>
  <c r="F39" i="19"/>
  <c r="G39" i="19"/>
  <c r="E39" i="22"/>
  <c r="G39" i="22"/>
  <c r="F39" i="22"/>
  <c r="K79" i="37" l="1"/>
  <c r="L79" i="37" s="1"/>
  <c r="H80" i="37" s="1"/>
  <c r="I80" i="37" s="1"/>
  <c r="J79" i="37"/>
  <c r="S77" i="37"/>
  <c r="T77" i="37" s="1"/>
  <c r="U77" i="37" s="1"/>
  <c r="P78" i="37" s="1"/>
  <c r="Q78" i="37" s="1"/>
  <c r="R77" i="37"/>
  <c r="G42" i="26"/>
  <c r="E42" i="26"/>
  <c r="F42" i="26"/>
  <c r="S78" i="1"/>
  <c r="T78" i="1" s="1"/>
  <c r="U78" i="1" s="1"/>
  <c r="P79" i="1" s="1"/>
  <c r="Q79" i="1" s="1"/>
  <c r="S79" i="1" s="1"/>
  <c r="T79" i="1" s="1"/>
  <c r="U79" i="1" s="1"/>
  <c r="P80" i="1" s="1"/>
  <c r="Q80" i="1" s="1"/>
  <c r="J39" i="22"/>
  <c r="E40" i="22" a="1"/>
  <c r="K76" i="1"/>
  <c r="L76" i="1" s="1"/>
  <c r="H77" i="1" s="1"/>
  <c r="I77" i="1" s="1"/>
  <c r="J76" i="1"/>
  <c r="J39" i="19"/>
  <c r="E40" i="19" a="1"/>
  <c r="S78" i="37" l="1"/>
  <c r="T78" i="37" s="1"/>
  <c r="U78" i="37" s="1"/>
  <c r="P79" i="37" s="1"/>
  <c r="Q79" i="37" s="1"/>
  <c r="R78" i="37"/>
  <c r="K80" i="37"/>
  <c r="L80" i="37" s="1"/>
  <c r="H81" i="37" s="1"/>
  <c r="I81" i="37" s="1"/>
  <c r="J80" i="37"/>
  <c r="J42" i="26"/>
  <c r="E43" i="26" a="1"/>
  <c r="R79" i="1"/>
  <c r="K77" i="1"/>
  <c r="L77" i="1" s="1"/>
  <c r="H78" i="1" s="1"/>
  <c r="I78" i="1" s="1"/>
  <c r="J77" i="1"/>
  <c r="R80" i="1"/>
  <c r="S80" i="1"/>
  <c r="T80" i="1" s="1"/>
  <c r="U80" i="1" s="1"/>
  <c r="F40" i="22"/>
  <c r="G40" i="22"/>
  <c r="E40" i="22"/>
  <c r="G40" i="19"/>
  <c r="E40" i="19"/>
  <c r="F40" i="19"/>
  <c r="K81" i="37" l="1"/>
  <c r="L81" i="37" s="1"/>
  <c r="H82" i="37" s="1"/>
  <c r="I82" i="37" s="1"/>
  <c r="J81" i="37"/>
  <c r="S79" i="37"/>
  <c r="T79" i="37" s="1"/>
  <c r="U79" i="37" s="1"/>
  <c r="R79" i="37"/>
  <c r="F43" i="26"/>
  <c r="G43" i="26"/>
  <c r="E43" i="26"/>
  <c r="J40" i="19"/>
  <c r="E41" i="19" a="1"/>
  <c r="P81" i="1"/>
  <c r="Q81" i="1" s="1"/>
  <c r="J40" i="22"/>
  <c r="E41" i="22" a="1"/>
  <c r="K78" i="1"/>
  <c r="L78" i="1" s="1"/>
  <c r="H79" i="1" s="1"/>
  <c r="I79" i="1" s="1"/>
  <c r="J78" i="1"/>
  <c r="P80" i="37" l="1"/>
  <c r="Q80" i="37" s="1"/>
  <c r="K82" i="37"/>
  <c r="L82" i="37" s="1"/>
  <c r="H83" i="37" s="1"/>
  <c r="I83" i="37" s="1"/>
  <c r="J82" i="37"/>
  <c r="E44" i="26" a="1"/>
  <c r="J43" i="26"/>
  <c r="S81" i="1"/>
  <c r="T81" i="1" s="1"/>
  <c r="U81" i="1" s="1"/>
  <c r="P82" i="1" s="1"/>
  <c r="Q82" i="1" s="1"/>
  <c r="R81" i="1"/>
  <c r="G41" i="22"/>
  <c r="E41" i="22"/>
  <c r="F41" i="22"/>
  <c r="E41" i="19"/>
  <c r="F41" i="19"/>
  <c r="G41" i="19"/>
  <c r="K79" i="1"/>
  <c r="L79" i="1" s="1"/>
  <c r="H80" i="1" s="1"/>
  <c r="I80" i="1" s="1"/>
  <c r="J79" i="1"/>
  <c r="K83" i="37" l="1"/>
  <c r="L83" i="37" s="1"/>
  <c r="H84" i="37" s="1"/>
  <c r="I84" i="37" s="1"/>
  <c r="J83" i="37"/>
  <c r="S80" i="37"/>
  <c r="T80" i="37" s="1"/>
  <c r="U80" i="37" s="1"/>
  <c r="R80" i="37"/>
  <c r="E44" i="26"/>
  <c r="G44" i="26"/>
  <c r="F44" i="26"/>
  <c r="E42" i="19" a="1"/>
  <c r="J41" i="19"/>
  <c r="K80" i="1"/>
  <c r="L80" i="1" s="1"/>
  <c r="H81" i="1" s="1"/>
  <c r="I81" i="1" s="1"/>
  <c r="J80" i="1"/>
  <c r="J41" i="22"/>
  <c r="E42" i="22" a="1"/>
  <c r="S82" i="1"/>
  <c r="T82" i="1" s="1"/>
  <c r="U82" i="1" s="1"/>
  <c r="R82" i="1"/>
  <c r="P81" i="37" l="1"/>
  <c r="Q81" i="37" s="1"/>
  <c r="R81" i="37" s="1"/>
  <c r="K84" i="37"/>
  <c r="L84" i="37" s="1"/>
  <c r="H85" i="37" s="1"/>
  <c r="I85" i="37" s="1"/>
  <c r="J84" i="37"/>
  <c r="E45" i="26" a="1"/>
  <c r="J44" i="26"/>
  <c r="P83" i="1"/>
  <c r="Q83" i="1" s="1"/>
  <c r="S83" i="1" s="1"/>
  <c r="T83" i="1" s="1"/>
  <c r="U83" i="1" s="1"/>
  <c r="P84" i="1" s="1"/>
  <c r="Q84" i="1" s="1"/>
  <c r="F42" i="22"/>
  <c r="E42" i="22"/>
  <c r="G42" i="22"/>
  <c r="J81" i="1"/>
  <c r="K81" i="1"/>
  <c r="L81" i="1" s="1"/>
  <c r="H82" i="1" s="1"/>
  <c r="I82" i="1" s="1"/>
  <c r="E42" i="19"/>
  <c r="F42" i="19"/>
  <c r="G42" i="19"/>
  <c r="S81" i="37" l="1"/>
  <c r="T81" i="37" s="1"/>
  <c r="U81" i="37" s="1"/>
  <c r="P82" i="37" s="1"/>
  <c r="Q82" i="37" s="1"/>
  <c r="S82" i="37" s="1"/>
  <c r="T82" i="37" s="1"/>
  <c r="U82" i="37" s="1"/>
  <c r="P83" i="37" s="1"/>
  <c r="Q83" i="37" s="1"/>
  <c r="S83" i="37" s="1"/>
  <c r="T83" i="37" s="1"/>
  <c r="U83" i="37" s="1"/>
  <c r="J85" i="37"/>
  <c r="K85" i="37"/>
  <c r="L85" i="37" s="1"/>
  <c r="H86" i="37" s="1"/>
  <c r="I86" i="37" s="1"/>
  <c r="F45" i="26"/>
  <c r="G45" i="26"/>
  <c r="E45" i="26"/>
  <c r="R83" i="1"/>
  <c r="R84" i="1"/>
  <c r="S84" i="1"/>
  <c r="T84" i="1" s="1"/>
  <c r="U84" i="1" s="1"/>
  <c r="P85" i="1" s="1"/>
  <c r="Q85" i="1" s="1"/>
  <c r="J42" i="22"/>
  <c r="E43" i="22" a="1"/>
  <c r="E43" i="19" a="1"/>
  <c r="J42" i="19"/>
  <c r="K82" i="1"/>
  <c r="L82" i="1" s="1"/>
  <c r="H83" i="1" s="1"/>
  <c r="I83" i="1" s="1"/>
  <c r="J82" i="1"/>
  <c r="R82" i="37" l="1"/>
  <c r="R83" i="37"/>
  <c r="J86" i="37"/>
  <c r="K86" i="37"/>
  <c r="L86" i="37" s="1"/>
  <c r="H87" i="37" s="1"/>
  <c r="I87" i="37" s="1"/>
  <c r="P84" i="37"/>
  <c r="Q84" i="37" s="1"/>
  <c r="E46" i="26" a="1"/>
  <c r="J45" i="26"/>
  <c r="S85" i="1"/>
  <c r="T85" i="1" s="1"/>
  <c r="U85" i="1" s="1"/>
  <c r="P86" i="1" s="1"/>
  <c r="Q86" i="1" s="1"/>
  <c r="R85" i="1"/>
  <c r="E43" i="22"/>
  <c r="G43" i="22"/>
  <c r="F43" i="22"/>
  <c r="J83" i="1"/>
  <c r="K83" i="1"/>
  <c r="L83" i="1" s="1"/>
  <c r="H84" i="1" s="1"/>
  <c r="I84" i="1" s="1"/>
  <c r="F43" i="19"/>
  <c r="E43" i="19"/>
  <c r="G43" i="19"/>
  <c r="R84" i="37" l="1"/>
  <c r="S84" i="37"/>
  <c r="T84" i="37" s="1"/>
  <c r="U84" i="37" s="1"/>
  <c r="P85" i="37" s="1"/>
  <c r="Q85" i="37" s="1"/>
  <c r="R85" i="37" s="1"/>
  <c r="J87" i="37"/>
  <c r="K87" i="37"/>
  <c r="L87" i="37" s="1"/>
  <c r="H88" i="37" s="1"/>
  <c r="I88" i="37" s="1"/>
  <c r="G46" i="26"/>
  <c r="E46" i="26"/>
  <c r="F46" i="26"/>
  <c r="J43" i="22"/>
  <c r="E44" i="22" a="1"/>
  <c r="E44" i="19" a="1"/>
  <c r="J43" i="19"/>
  <c r="S86" i="1"/>
  <c r="T86" i="1" s="1"/>
  <c r="U86" i="1" s="1"/>
  <c r="P87" i="1" s="1"/>
  <c r="Q87" i="1" s="1"/>
  <c r="R87" i="1" s="1"/>
  <c r="R86" i="1"/>
  <c r="J84" i="1"/>
  <c r="K84" i="1"/>
  <c r="L84" i="1" s="1"/>
  <c r="H85" i="1" s="1"/>
  <c r="I85" i="1" s="1"/>
  <c r="S85" i="37" l="1"/>
  <c r="T85" i="37" s="1"/>
  <c r="U85" i="37" s="1"/>
  <c r="P86" i="37" s="1"/>
  <c r="Q86" i="37" s="1"/>
  <c r="K88" i="37"/>
  <c r="L88" i="37" s="1"/>
  <c r="H89" i="37" s="1"/>
  <c r="I89" i="37" s="1"/>
  <c r="J88" i="37"/>
  <c r="E47" i="26" a="1"/>
  <c r="J46" i="26"/>
  <c r="S87" i="1"/>
  <c r="T87" i="1" s="1"/>
  <c r="U87" i="1" s="1"/>
  <c r="P88" i="1" s="1"/>
  <c r="Q88" i="1" s="1"/>
  <c r="F44" i="22"/>
  <c r="G44" i="22"/>
  <c r="E44" i="22"/>
  <c r="K85" i="1"/>
  <c r="L85" i="1" s="1"/>
  <c r="H86" i="1" s="1"/>
  <c r="I86" i="1" s="1"/>
  <c r="J85" i="1"/>
  <c r="E44" i="19"/>
  <c r="F44" i="19"/>
  <c r="G44" i="19"/>
  <c r="J89" i="37" l="1"/>
  <c r="K89" i="37"/>
  <c r="L89" i="37" s="1"/>
  <c r="H90" i="37" s="1"/>
  <c r="I90" i="37" s="1"/>
  <c r="R86" i="37"/>
  <c r="S86" i="37"/>
  <c r="T86" i="37" s="1"/>
  <c r="U86" i="37" s="1"/>
  <c r="P87" i="37" s="1"/>
  <c r="Q87" i="37" s="1"/>
  <c r="S87" i="37" s="1"/>
  <c r="T87" i="37" s="1"/>
  <c r="U87" i="37" s="1"/>
  <c r="E47" i="26"/>
  <c r="G47" i="26"/>
  <c r="F47" i="26"/>
  <c r="E45" i="19" a="1"/>
  <c r="J44" i="19"/>
  <c r="J44" i="22"/>
  <c r="E45" i="22" a="1"/>
  <c r="S88" i="1"/>
  <c r="T88" i="1" s="1"/>
  <c r="U88" i="1" s="1"/>
  <c r="P89" i="1" s="1"/>
  <c r="Q89" i="1" s="1"/>
  <c r="R89" i="1" s="1"/>
  <c r="R88" i="1"/>
  <c r="J86" i="1"/>
  <c r="K86" i="1"/>
  <c r="L86" i="1" s="1"/>
  <c r="H87" i="1" s="1"/>
  <c r="I87" i="1" s="1"/>
  <c r="R87" i="37" l="1"/>
  <c r="P88" i="37"/>
  <c r="Q88" i="37" s="1"/>
  <c r="J90" i="37"/>
  <c r="K90" i="37"/>
  <c r="L90" i="37" s="1"/>
  <c r="H91" i="37" s="1"/>
  <c r="I91" i="37" s="1"/>
  <c r="J47" i="26"/>
  <c r="E48" i="26" a="1"/>
  <c r="S89" i="1"/>
  <c r="T89" i="1" s="1"/>
  <c r="U89" i="1" s="1"/>
  <c r="P90" i="1" s="1"/>
  <c r="Q90" i="1" s="1"/>
  <c r="S90" i="1" s="1"/>
  <c r="T90" i="1" s="1"/>
  <c r="U90" i="1" s="1"/>
  <c r="G45" i="22"/>
  <c r="E45" i="22"/>
  <c r="F45" i="22"/>
  <c r="K87" i="1"/>
  <c r="L87" i="1" s="1"/>
  <c r="H88" i="1" s="1"/>
  <c r="I88" i="1" s="1"/>
  <c r="J87" i="1"/>
  <c r="E45" i="19"/>
  <c r="F45" i="19"/>
  <c r="G45" i="19"/>
  <c r="J91" i="37" l="1"/>
  <c r="K91" i="37"/>
  <c r="L91" i="37" s="1"/>
  <c r="H92" i="37" s="1"/>
  <c r="I92" i="37" s="1"/>
  <c r="R88" i="37"/>
  <c r="S88" i="37"/>
  <c r="T88" i="37" s="1"/>
  <c r="U88" i="37" s="1"/>
  <c r="P89" i="37" s="1"/>
  <c r="Q89" i="37" s="1"/>
  <c r="G48" i="26"/>
  <c r="F48" i="26"/>
  <c r="E48" i="26"/>
  <c r="R90" i="1"/>
  <c r="E46" i="19" a="1"/>
  <c r="J45" i="19"/>
  <c r="P91" i="1"/>
  <c r="Q91" i="1" s="1"/>
  <c r="J45" i="22"/>
  <c r="E46" i="22" a="1"/>
  <c r="K88" i="1"/>
  <c r="L88" i="1" s="1"/>
  <c r="H89" i="1" s="1"/>
  <c r="I89" i="1" s="1"/>
  <c r="J88" i="1"/>
  <c r="R89" i="37" l="1"/>
  <c r="S89" i="37"/>
  <c r="T89" i="37" s="1"/>
  <c r="U89" i="37" s="1"/>
  <c r="P90" i="37" s="1"/>
  <c r="Q90" i="37" s="1"/>
  <c r="K92" i="37"/>
  <c r="L92" i="37" s="1"/>
  <c r="H93" i="37" s="1"/>
  <c r="I93" i="37" s="1"/>
  <c r="J92" i="37"/>
  <c r="J48" i="26"/>
  <c r="E49" i="26" a="1"/>
  <c r="E46" i="19"/>
  <c r="F46" i="19"/>
  <c r="G46" i="19"/>
  <c r="K89" i="1"/>
  <c r="L89" i="1" s="1"/>
  <c r="H90" i="1" s="1"/>
  <c r="I90" i="1" s="1"/>
  <c r="J89" i="1"/>
  <c r="R91" i="1"/>
  <c r="S91" i="1"/>
  <c r="T91" i="1" s="1"/>
  <c r="U91" i="1" s="1"/>
  <c r="P92" i="1" s="1"/>
  <c r="Q92" i="1" s="1"/>
  <c r="F46" i="22"/>
  <c r="E46" i="22"/>
  <c r="G46" i="22"/>
  <c r="R90" i="37" l="1"/>
  <c r="S90" i="37"/>
  <c r="T90" i="37" s="1"/>
  <c r="U90" i="37" s="1"/>
  <c r="P91" i="37" s="1"/>
  <c r="Q91" i="37" s="1"/>
  <c r="J93" i="37"/>
  <c r="K93" i="37"/>
  <c r="L93" i="37" s="1"/>
  <c r="H94" i="37" s="1"/>
  <c r="I94" i="37" s="1"/>
  <c r="E49" i="26"/>
  <c r="F49" i="26"/>
  <c r="G49" i="26"/>
  <c r="K90" i="1"/>
  <c r="L90" i="1" s="1"/>
  <c r="H91" i="1" s="1"/>
  <c r="I91" i="1" s="1"/>
  <c r="J90" i="1"/>
  <c r="J46" i="22"/>
  <c r="E47" i="22" a="1"/>
  <c r="S92" i="1"/>
  <c r="T92" i="1" s="1"/>
  <c r="U92" i="1" s="1"/>
  <c r="P93" i="1" s="1"/>
  <c r="Q93" i="1" s="1"/>
  <c r="R92" i="1"/>
  <c r="J46" i="19"/>
  <c r="E47" i="19" a="1"/>
  <c r="S91" i="37" l="1"/>
  <c r="T91" i="37" s="1"/>
  <c r="U91" i="37" s="1"/>
  <c r="P92" i="37" s="1"/>
  <c r="Q92" i="37" s="1"/>
  <c r="R92" i="37" s="1"/>
  <c r="R91" i="37"/>
  <c r="J94" i="37"/>
  <c r="K94" i="37"/>
  <c r="L94" i="37" s="1"/>
  <c r="H95" i="37" s="1"/>
  <c r="I95" i="37" s="1"/>
  <c r="J49" i="26"/>
  <c r="E50" i="26" a="1"/>
  <c r="E47" i="22"/>
  <c r="G47" i="22"/>
  <c r="F47" i="22"/>
  <c r="E47" i="19"/>
  <c r="G47" i="19"/>
  <c r="F47" i="19"/>
  <c r="S93" i="1"/>
  <c r="T93" i="1" s="1"/>
  <c r="U93" i="1" s="1"/>
  <c r="R93" i="1"/>
  <c r="K91" i="1"/>
  <c r="L91" i="1" s="1"/>
  <c r="H92" i="1" s="1"/>
  <c r="I92" i="1" s="1"/>
  <c r="J91" i="1"/>
  <c r="S92" i="37" l="1"/>
  <c r="T92" i="37" s="1"/>
  <c r="U92" i="37" s="1"/>
  <c r="P93" i="37" s="1"/>
  <c r="Q93" i="37" s="1"/>
  <c r="J95" i="37"/>
  <c r="K95" i="37"/>
  <c r="L95" i="37" s="1"/>
  <c r="H96" i="37" s="1"/>
  <c r="I96" i="37" s="1"/>
  <c r="G50" i="26"/>
  <c r="E50" i="26"/>
  <c r="F50" i="26"/>
  <c r="P94" i="1"/>
  <c r="Q94" i="1" s="1"/>
  <c r="S94" i="1" s="1"/>
  <c r="T94" i="1" s="1"/>
  <c r="U94" i="1" s="1"/>
  <c r="P95" i="1" s="1"/>
  <c r="Q95" i="1" s="1"/>
  <c r="J47" i="19"/>
  <c r="E48" i="19" a="1"/>
  <c r="J92" i="1"/>
  <c r="K92" i="1"/>
  <c r="L92" i="1" s="1"/>
  <c r="H93" i="1" s="1"/>
  <c r="I93" i="1" s="1"/>
  <c r="J47" i="22"/>
  <c r="E48" i="22" a="1"/>
  <c r="R93" i="37" l="1"/>
  <c r="S93" i="37"/>
  <c r="T93" i="37" s="1"/>
  <c r="U93" i="37" s="1"/>
  <c r="P94" i="37" s="1"/>
  <c r="Q94" i="37" s="1"/>
  <c r="K96" i="37"/>
  <c r="L96" i="37" s="1"/>
  <c r="H97" i="37" s="1"/>
  <c r="I97" i="37" s="1"/>
  <c r="J96" i="37"/>
  <c r="E51" i="26" a="1"/>
  <c r="J50" i="26"/>
  <c r="R94" i="1"/>
  <c r="R95" i="1"/>
  <c r="S95" i="1"/>
  <c r="T95" i="1" s="1"/>
  <c r="U95" i="1" s="1"/>
  <c r="F48" i="22"/>
  <c r="E48" i="22"/>
  <c r="G48" i="22"/>
  <c r="K93" i="1"/>
  <c r="L93" i="1" s="1"/>
  <c r="H94" i="1" s="1"/>
  <c r="I94" i="1" s="1"/>
  <c r="J93" i="1"/>
  <c r="F48" i="19"/>
  <c r="G48" i="19"/>
  <c r="E48" i="19"/>
  <c r="R94" i="37" l="1"/>
  <c r="S94" i="37"/>
  <c r="T94" i="37" s="1"/>
  <c r="U94" i="37" s="1"/>
  <c r="P95" i="37" s="1"/>
  <c r="Q95" i="37" s="1"/>
  <c r="S95" i="37" s="1"/>
  <c r="T95" i="37" s="1"/>
  <c r="U95" i="37" s="1"/>
  <c r="K97" i="37"/>
  <c r="L97" i="37" s="1"/>
  <c r="H98" i="37" s="1"/>
  <c r="I98" i="37" s="1"/>
  <c r="J97" i="37"/>
  <c r="F51" i="26"/>
  <c r="G51" i="26"/>
  <c r="E51" i="26"/>
  <c r="P96" i="1"/>
  <c r="Q96" i="1" s="1"/>
  <c r="S96" i="1" s="1"/>
  <c r="T96" i="1" s="1"/>
  <c r="U96" i="1" s="1"/>
  <c r="P97" i="1" s="1"/>
  <c r="Q97" i="1" s="1"/>
  <c r="K94" i="1"/>
  <c r="L94" i="1" s="1"/>
  <c r="H95" i="1" s="1"/>
  <c r="I95" i="1" s="1"/>
  <c r="J94" i="1"/>
  <c r="J48" i="19"/>
  <c r="E49" i="19" a="1"/>
  <c r="J48" i="22"/>
  <c r="E49" i="22" a="1"/>
  <c r="R95" i="37" l="1"/>
  <c r="P96" i="37"/>
  <c r="Q96" i="37" s="1"/>
  <c r="J98" i="37"/>
  <c r="K98" i="37"/>
  <c r="L98" i="37" s="1"/>
  <c r="H99" i="37" s="1"/>
  <c r="I99" i="37" s="1"/>
  <c r="J51" i="26"/>
  <c r="E52" i="26" a="1"/>
  <c r="R96" i="1"/>
  <c r="K95" i="1"/>
  <c r="L95" i="1" s="1"/>
  <c r="H96" i="1" s="1"/>
  <c r="I96" i="1" s="1"/>
  <c r="J95" i="1"/>
  <c r="S97" i="1"/>
  <c r="T97" i="1" s="1"/>
  <c r="U97" i="1" s="1"/>
  <c r="P98" i="1" s="1"/>
  <c r="Q98" i="1" s="1"/>
  <c r="R97" i="1"/>
  <c r="G49" i="22"/>
  <c r="E49" i="22"/>
  <c r="F49" i="22"/>
  <c r="G49" i="19"/>
  <c r="E49" i="19"/>
  <c r="F49" i="19"/>
  <c r="K99" i="37" l="1"/>
  <c r="L99" i="37" s="1"/>
  <c r="H100" i="37" s="1"/>
  <c r="I100" i="37" s="1"/>
  <c r="J99" i="37"/>
  <c r="S96" i="37"/>
  <c r="T96" i="37" s="1"/>
  <c r="U96" i="37" s="1"/>
  <c r="P97" i="37" s="1"/>
  <c r="Q97" i="37" s="1"/>
  <c r="R97" i="37" s="1"/>
  <c r="R96" i="37"/>
  <c r="E52" i="26"/>
  <c r="F52" i="26"/>
  <c r="G52" i="26"/>
  <c r="S98" i="1"/>
  <c r="T98" i="1" s="1"/>
  <c r="U98" i="1" s="1"/>
  <c r="P99" i="1" s="1"/>
  <c r="Q99" i="1" s="1"/>
  <c r="R98" i="1"/>
  <c r="J49" i="22"/>
  <c r="E50" i="22" a="1"/>
  <c r="E50" i="19" a="1"/>
  <c r="J49" i="19"/>
  <c r="K96" i="1"/>
  <c r="L96" i="1" s="1"/>
  <c r="H97" i="1" s="1"/>
  <c r="I97" i="1" s="1"/>
  <c r="J96" i="1"/>
  <c r="S97" i="37" l="1"/>
  <c r="T97" i="37" s="1"/>
  <c r="U97" i="37" s="1"/>
  <c r="P98" i="37" s="1"/>
  <c r="Q98" i="37" s="1"/>
  <c r="S98" i="37" s="1"/>
  <c r="T98" i="37" s="1"/>
  <c r="U98" i="37" s="1"/>
  <c r="K100" i="37"/>
  <c r="L100" i="37" s="1"/>
  <c r="H101" i="37" s="1"/>
  <c r="I101" i="37" s="1"/>
  <c r="J100" i="37"/>
  <c r="J52" i="26"/>
  <c r="E53" i="26" a="1"/>
  <c r="S99" i="1"/>
  <c r="T99" i="1" s="1"/>
  <c r="U99" i="1" s="1"/>
  <c r="P100" i="1" s="1"/>
  <c r="Q100" i="1" s="1"/>
  <c r="R99" i="1"/>
  <c r="F50" i="22"/>
  <c r="E50" i="22"/>
  <c r="G50" i="22"/>
  <c r="K97" i="1"/>
  <c r="L97" i="1" s="1"/>
  <c r="H98" i="1" s="1"/>
  <c r="I98" i="1" s="1"/>
  <c r="J97" i="1"/>
  <c r="E50" i="19"/>
  <c r="F50" i="19"/>
  <c r="G50" i="19"/>
  <c r="R98" i="37" l="1"/>
  <c r="K101" i="37"/>
  <c r="L101" i="37" s="1"/>
  <c r="H102" i="37" s="1"/>
  <c r="I102" i="37" s="1"/>
  <c r="J101" i="37"/>
  <c r="P99" i="37"/>
  <c r="Q99" i="37" s="1"/>
  <c r="F53" i="26"/>
  <c r="E53" i="26"/>
  <c r="G53" i="26"/>
  <c r="J50" i="19"/>
  <c r="E51" i="19" a="1"/>
  <c r="S100" i="1"/>
  <c r="T100" i="1" s="1"/>
  <c r="U100" i="1" s="1"/>
  <c r="P101" i="1" s="1"/>
  <c r="Q101" i="1" s="1"/>
  <c r="S101" i="1" s="1"/>
  <c r="T101" i="1" s="1"/>
  <c r="U101" i="1" s="1"/>
  <c r="R100" i="1"/>
  <c r="K98" i="1"/>
  <c r="L98" i="1" s="1"/>
  <c r="H99" i="1" s="1"/>
  <c r="I99" i="1" s="1"/>
  <c r="J98" i="1"/>
  <c r="J50" i="22"/>
  <c r="E51" i="22" a="1"/>
  <c r="S99" i="37" l="1"/>
  <c r="T99" i="37" s="1"/>
  <c r="U99" i="37" s="1"/>
  <c r="P100" i="37" s="1"/>
  <c r="Q100" i="37" s="1"/>
  <c r="R99" i="37"/>
  <c r="J102" i="37"/>
  <c r="K102" i="37"/>
  <c r="L102" i="37" s="1"/>
  <c r="H103" i="37" s="1"/>
  <c r="I103" i="37" s="1"/>
  <c r="J53" i="26"/>
  <c r="E54" i="26" a="1"/>
  <c r="R101" i="1"/>
  <c r="J99" i="1"/>
  <c r="K99" i="1"/>
  <c r="L99" i="1" s="1"/>
  <c r="H100" i="1" s="1"/>
  <c r="I100" i="1" s="1"/>
  <c r="P102" i="1"/>
  <c r="Q102" i="1" s="1"/>
  <c r="E51" i="19"/>
  <c r="F51" i="19"/>
  <c r="G51" i="19"/>
  <c r="E51" i="22"/>
  <c r="G51" i="22"/>
  <c r="F51" i="22"/>
  <c r="K103" i="37" l="1"/>
  <c r="L103" i="37" s="1"/>
  <c r="H104" i="37" s="1"/>
  <c r="I104" i="37" s="1"/>
  <c r="J103" i="37"/>
  <c r="S100" i="37"/>
  <c r="T100" i="37" s="1"/>
  <c r="U100" i="37" s="1"/>
  <c r="P101" i="37" s="1"/>
  <c r="Q101" i="37" s="1"/>
  <c r="R101" i="37" s="1"/>
  <c r="R100" i="37"/>
  <c r="F54" i="26"/>
  <c r="G54" i="26"/>
  <c r="E54" i="26"/>
  <c r="K100" i="1"/>
  <c r="L100" i="1" s="1"/>
  <c r="H101" i="1" s="1"/>
  <c r="I101" i="1" s="1"/>
  <c r="J100" i="1"/>
  <c r="J51" i="19"/>
  <c r="E52" i="19" a="1"/>
  <c r="J51" i="22"/>
  <c r="E52" i="22" a="1"/>
  <c r="R102" i="1"/>
  <c r="S102" i="1"/>
  <c r="T102" i="1" s="1"/>
  <c r="U102" i="1" s="1"/>
  <c r="P103" i="1" s="1"/>
  <c r="Q103" i="1" s="1"/>
  <c r="S101" i="37" l="1"/>
  <c r="T101" i="37" s="1"/>
  <c r="U101" i="37" s="1"/>
  <c r="P102" i="37" s="1"/>
  <c r="Q102" i="37" s="1"/>
  <c r="K104" i="37"/>
  <c r="L104" i="37" s="1"/>
  <c r="H105" i="37" s="1"/>
  <c r="I105" i="37" s="1"/>
  <c r="J104" i="37"/>
  <c r="J54" i="26"/>
  <c r="E55" i="26" a="1"/>
  <c r="F52" i="19"/>
  <c r="G52" i="19"/>
  <c r="E52" i="19"/>
  <c r="S103" i="1"/>
  <c r="T103" i="1" s="1"/>
  <c r="U103" i="1" s="1"/>
  <c r="P104" i="1" s="1"/>
  <c r="Q104" i="1" s="1"/>
  <c r="R103" i="1"/>
  <c r="F52" i="22"/>
  <c r="G52" i="22"/>
  <c r="E52" i="22"/>
  <c r="K101" i="1"/>
  <c r="L101" i="1" s="1"/>
  <c r="H102" i="1" s="1"/>
  <c r="I102" i="1" s="1"/>
  <c r="J101" i="1"/>
  <c r="K105" i="37" l="1"/>
  <c r="L105" i="37" s="1"/>
  <c r="H106" i="37" s="1"/>
  <c r="I106" i="37" s="1"/>
  <c r="J105" i="37"/>
  <c r="S102" i="37"/>
  <c r="T102" i="37" s="1"/>
  <c r="U102" i="37" s="1"/>
  <c r="P103" i="37" s="1"/>
  <c r="Q103" i="37" s="1"/>
  <c r="R102" i="37"/>
  <c r="E55" i="26"/>
  <c r="F55" i="26"/>
  <c r="G55" i="26"/>
  <c r="J52" i="19"/>
  <c r="E53" i="19" a="1"/>
  <c r="J52" i="22"/>
  <c r="E53" i="22" a="1"/>
  <c r="K102" i="1"/>
  <c r="L102" i="1" s="1"/>
  <c r="H103" i="1" s="1"/>
  <c r="I103" i="1" s="1"/>
  <c r="J102" i="1"/>
  <c r="S104" i="1"/>
  <c r="T104" i="1" s="1"/>
  <c r="U104" i="1" s="1"/>
  <c r="P105" i="1" s="1"/>
  <c r="Q105" i="1" s="1"/>
  <c r="R104" i="1"/>
  <c r="S103" i="37" l="1"/>
  <c r="T103" i="37" s="1"/>
  <c r="U103" i="37" s="1"/>
  <c r="P104" i="37" s="1"/>
  <c r="Q104" i="37" s="1"/>
  <c r="S104" i="37" s="1"/>
  <c r="T104" i="37" s="1"/>
  <c r="U104" i="37" s="1"/>
  <c r="P105" i="37" s="1"/>
  <c r="Q105" i="37" s="1"/>
  <c r="R103" i="37"/>
  <c r="J106" i="37"/>
  <c r="K106" i="37"/>
  <c r="L106" i="37" s="1"/>
  <c r="H107" i="37" s="1"/>
  <c r="I107" i="37" s="1"/>
  <c r="J55" i="26"/>
  <c r="E56" i="26" a="1"/>
  <c r="G53" i="22"/>
  <c r="E53" i="22"/>
  <c r="F53" i="22"/>
  <c r="K103" i="1"/>
  <c r="L103" i="1" s="1"/>
  <c r="H104" i="1" s="1"/>
  <c r="I104" i="1" s="1"/>
  <c r="J103" i="1"/>
  <c r="R105" i="1"/>
  <c r="S105" i="1"/>
  <c r="T105" i="1" s="1"/>
  <c r="U105" i="1" s="1"/>
  <c r="E53" i="19"/>
  <c r="F53" i="19"/>
  <c r="G53" i="19"/>
  <c r="R104" i="37" l="1"/>
  <c r="K107" i="37"/>
  <c r="L107" i="37" s="1"/>
  <c r="J107" i="37"/>
  <c r="R105" i="37"/>
  <c r="S105" i="37"/>
  <c r="T105" i="37" s="1"/>
  <c r="U105" i="37" s="1"/>
  <c r="F56" i="26"/>
  <c r="G56" i="26"/>
  <c r="E56" i="26"/>
  <c r="P106" i="1"/>
  <c r="Q106" i="1" s="1"/>
  <c r="R106" i="1" s="1"/>
  <c r="J53" i="19"/>
  <c r="E54" i="19" a="1"/>
  <c r="K104" i="1"/>
  <c r="L104" i="1" s="1"/>
  <c r="H105" i="1" s="1"/>
  <c r="I105" i="1" s="1"/>
  <c r="J104" i="1"/>
  <c r="J53" i="22"/>
  <c r="E54" i="22" a="1"/>
  <c r="P106" i="37" l="1"/>
  <c r="Q106" i="37" s="1"/>
  <c r="J56" i="26"/>
  <c r="E57" i="26" a="1"/>
  <c r="S106" i="1"/>
  <c r="T106" i="1" s="1"/>
  <c r="U106" i="1" s="1"/>
  <c r="P107" i="1" s="1"/>
  <c r="Q107" i="1" s="1"/>
  <c r="K105" i="1"/>
  <c r="L105" i="1" s="1"/>
  <c r="H106" i="1" s="1"/>
  <c r="I106" i="1" s="1"/>
  <c r="J105" i="1"/>
  <c r="F54" i="22"/>
  <c r="E54" i="22"/>
  <c r="G54" i="22"/>
  <c r="G54" i="19"/>
  <c r="F54" i="19"/>
  <c r="E54" i="19"/>
  <c r="S106" i="37" l="1"/>
  <c r="T106" i="37" s="1"/>
  <c r="U106" i="37" s="1"/>
  <c r="P107" i="37" s="1"/>
  <c r="Q107" i="37" s="1"/>
  <c r="S107" i="37" s="1"/>
  <c r="T107" i="37" s="1"/>
  <c r="U107" i="37" s="1"/>
  <c r="R106" i="37"/>
  <c r="G57" i="26"/>
  <c r="F57" i="26"/>
  <c r="E57" i="26"/>
  <c r="S107" i="1"/>
  <c r="T107" i="1" s="1"/>
  <c r="U107" i="1" s="1"/>
  <c r="R107" i="1"/>
  <c r="J106" i="1"/>
  <c r="K106" i="1"/>
  <c r="L106" i="1" s="1"/>
  <c r="H107" i="1" s="1"/>
  <c r="I107" i="1" s="1"/>
  <c r="E55" i="19" a="1"/>
  <c r="J54" i="19"/>
  <c r="J54" i="22"/>
  <c r="E55" i="22" a="1"/>
  <c r="R107" i="37" l="1"/>
  <c r="J57" i="26"/>
  <c r="E58" i="26" a="1"/>
  <c r="E55" i="22"/>
  <c r="G55" i="22"/>
  <c r="F55" i="22"/>
  <c r="K107" i="1"/>
  <c r="L107" i="1" s="1"/>
  <c r="J107" i="1"/>
  <c r="G55" i="19"/>
  <c r="E55" i="19"/>
  <c r="F55" i="19"/>
  <c r="G58" i="26" l="1"/>
  <c r="F58" i="26"/>
  <c r="E58" i="26"/>
  <c r="J55" i="22"/>
  <c r="E56" i="22" a="1"/>
  <c r="E56" i="19" a="1"/>
  <c r="J55" i="19"/>
  <c r="J58" i="26" l="1"/>
  <c r="E59" i="26" a="1"/>
  <c r="G56" i="19"/>
  <c r="E56" i="19"/>
  <c r="F56" i="19"/>
  <c r="F56" i="22"/>
  <c r="E56" i="22"/>
  <c r="G56" i="22"/>
  <c r="E59" i="26" l="1"/>
  <c r="G59" i="26"/>
  <c r="F59" i="26"/>
  <c r="J56" i="22"/>
  <c r="E57" i="22" a="1"/>
  <c r="E57" i="19" a="1"/>
  <c r="J56" i="19"/>
  <c r="E60" i="26" l="1" a="1"/>
  <c r="J59" i="26"/>
  <c r="G57" i="22"/>
  <c r="E57" i="22"/>
  <c r="F57" i="22"/>
  <c r="E57" i="19"/>
  <c r="F57" i="19"/>
  <c r="G57" i="19"/>
  <c r="F60" i="26" l="1"/>
  <c r="G60" i="26"/>
  <c r="E60" i="26"/>
  <c r="J57" i="19"/>
  <c r="E58" i="19" a="1"/>
  <c r="J57" i="22"/>
  <c r="E58" i="22" a="1"/>
  <c r="J60" i="26" l="1"/>
  <c r="E61" i="26" a="1"/>
  <c r="E58" i="19"/>
  <c r="G58" i="19"/>
  <c r="F58" i="19"/>
  <c r="F58" i="22"/>
  <c r="E58" i="22"/>
  <c r="G58" i="22"/>
  <c r="E61" i="26" l="1"/>
  <c r="F61" i="26"/>
  <c r="G61" i="26"/>
  <c r="J58" i="22"/>
  <c r="E59" i="22" a="1"/>
  <c r="J58" i="19"/>
  <c r="E59" i="19" a="1"/>
  <c r="E62" i="26" l="1" a="1"/>
  <c r="J61" i="26"/>
  <c r="G59" i="19"/>
  <c r="E59" i="19"/>
  <c r="F59" i="19"/>
  <c r="E59" i="22"/>
  <c r="G59" i="22"/>
  <c r="F59" i="22"/>
  <c r="E62" i="26" l="1"/>
  <c r="F62" i="26"/>
  <c r="G62" i="26"/>
  <c r="J59" i="22"/>
  <c r="E60" i="22" a="1"/>
  <c r="J59" i="19"/>
  <c r="E60" i="19" a="1"/>
  <c r="E63" i="26" l="1" a="1"/>
  <c r="J62" i="26"/>
  <c r="F60" i="22"/>
  <c r="G60" i="22"/>
  <c r="E60" i="22"/>
  <c r="G60" i="19"/>
  <c r="E60" i="19"/>
  <c r="F60" i="19"/>
  <c r="G63" i="26" l="1"/>
  <c r="E63" i="26"/>
  <c r="F63" i="26"/>
  <c r="J60" i="22"/>
  <c r="E61" i="22" a="1"/>
  <c r="J60" i="19"/>
  <c r="E61" i="19" a="1"/>
  <c r="E64" i="26" l="1" a="1"/>
  <c r="J63" i="26"/>
  <c r="E61" i="19"/>
  <c r="G61" i="19"/>
  <c r="F61" i="19"/>
  <c r="G61" i="22"/>
  <c r="E61" i="22"/>
  <c r="F61" i="22"/>
  <c r="E64" i="26" l="1"/>
  <c r="G64" i="26"/>
  <c r="F64" i="26"/>
  <c r="J61" i="22"/>
  <c r="E62" i="22" a="1"/>
  <c r="J61" i="19"/>
  <c r="E62" i="19" a="1"/>
  <c r="J64" i="26" l="1"/>
  <c r="E65" i="26" a="1"/>
  <c r="E62" i="19"/>
  <c r="G62" i="19"/>
  <c r="F62" i="19"/>
  <c r="F62" i="22"/>
  <c r="E62" i="22"/>
  <c r="G62" i="22"/>
  <c r="G65" i="26" l="1"/>
  <c r="E65" i="26"/>
  <c r="F65" i="26"/>
  <c r="J62" i="19"/>
  <c r="E63" i="19" a="1"/>
  <c r="E63" i="22" a="1"/>
  <c r="J62" i="22"/>
  <c r="J65" i="26" l="1"/>
  <c r="E66" i="26" a="1"/>
  <c r="G63" i="19"/>
  <c r="E63" i="19"/>
  <c r="F63" i="19"/>
  <c r="F63" i="22"/>
  <c r="G63" i="22"/>
  <c r="E63" i="22"/>
  <c r="E66" i="26" l="1"/>
  <c r="G66" i="26"/>
  <c r="F66" i="26"/>
  <c r="J63" i="19"/>
  <c r="E64" i="19" a="1"/>
  <c r="E64" i="22" a="1"/>
  <c r="J63" i="22"/>
  <c r="J66" i="26" l="1"/>
  <c r="E67" i="26" a="1"/>
  <c r="G64" i="22"/>
  <c r="F64" i="22"/>
  <c r="E64" i="22"/>
  <c r="F64" i="19"/>
  <c r="G64" i="19"/>
  <c r="E64" i="19"/>
  <c r="F67" i="26" l="1"/>
  <c r="G67" i="26"/>
  <c r="E67" i="26"/>
  <c r="J64" i="19"/>
  <c r="E65" i="19" a="1"/>
  <c r="J64" i="22"/>
  <c r="E65" i="22" a="1"/>
  <c r="J67" i="26" l="1"/>
  <c r="E68" i="26" a="1"/>
  <c r="F65" i="22"/>
  <c r="G65" i="22"/>
  <c r="E65" i="22"/>
  <c r="G65" i="19"/>
  <c r="E65" i="19"/>
  <c r="F65" i="19"/>
  <c r="F68" i="26" l="1"/>
  <c r="E68" i="26"/>
  <c r="G68" i="26"/>
  <c r="E66" i="22" a="1"/>
  <c r="J65" i="22"/>
  <c r="E66" i="19" a="1"/>
  <c r="J65" i="19"/>
  <c r="J68" i="26" l="1"/>
  <c r="E69" i="26" a="1"/>
  <c r="F66" i="19"/>
  <c r="E66" i="19"/>
  <c r="G66" i="19"/>
  <c r="E66" i="22"/>
  <c r="G66" i="22"/>
  <c r="F66" i="22"/>
  <c r="G69" i="26" l="1"/>
  <c r="E69" i="26"/>
  <c r="F69" i="26"/>
  <c r="E67" i="22" a="1"/>
  <c r="J66" i="22"/>
  <c r="E67" i="19" a="1"/>
  <c r="J66" i="19"/>
  <c r="E70" i="26" l="1" a="1"/>
  <c r="J69" i="26"/>
  <c r="G67" i="22"/>
  <c r="E67" i="22"/>
  <c r="F67" i="22"/>
  <c r="E67" i="19"/>
  <c r="F67" i="19"/>
  <c r="G67" i="19"/>
  <c r="G70" i="26" l="1"/>
  <c r="E70" i="26"/>
  <c r="F70" i="26"/>
  <c r="E68" i="22" a="1"/>
  <c r="J67" i="22"/>
  <c r="J67" i="19"/>
  <c r="E68" i="19" a="1"/>
  <c r="J70" i="26" l="1"/>
  <c r="E71" i="26" a="1"/>
  <c r="E68" i="19"/>
  <c r="F68" i="19"/>
  <c r="G68" i="19"/>
  <c r="G68" i="22"/>
  <c r="F68" i="22"/>
  <c r="E68" i="22"/>
  <c r="F71" i="26" l="1"/>
  <c r="E71" i="26"/>
  <c r="G71" i="26"/>
  <c r="E69" i="19" a="1"/>
  <c r="J68" i="19"/>
  <c r="J68" i="22"/>
  <c r="E69" i="22" a="1"/>
  <c r="J71" i="26" l="1"/>
  <c r="E72" i="26" a="1"/>
  <c r="F69" i="22"/>
  <c r="E69" i="22"/>
  <c r="G69" i="22"/>
  <c r="F69" i="19"/>
  <c r="E69" i="19"/>
  <c r="G69" i="19"/>
  <c r="G72" i="26" l="1"/>
  <c r="F72" i="26"/>
  <c r="E72" i="26"/>
  <c r="E70" i="22" a="1"/>
  <c r="J69" i="22"/>
  <c r="J69" i="19"/>
  <c r="E70" i="19" a="1"/>
  <c r="J72" i="26" l="1"/>
  <c r="E73" i="26" a="1"/>
  <c r="E70" i="19"/>
  <c r="F70" i="19"/>
  <c r="G70" i="19"/>
  <c r="E70" i="22"/>
  <c r="G70" i="22"/>
  <c r="F70" i="22"/>
  <c r="E73" i="26" l="1"/>
  <c r="G73" i="26"/>
  <c r="F73" i="26"/>
  <c r="E71" i="22" a="1"/>
  <c r="J70" i="22"/>
  <c r="E71" i="19" a="1"/>
  <c r="J70" i="19"/>
  <c r="J73" i="26" l="1"/>
  <c r="E74" i="26" a="1"/>
  <c r="G71" i="19"/>
  <c r="F71" i="19"/>
  <c r="E71" i="19"/>
  <c r="E71" i="22"/>
  <c r="F71" i="22"/>
  <c r="G71" i="22"/>
  <c r="E74" i="26" l="1"/>
  <c r="G74" i="26"/>
  <c r="F74" i="26"/>
  <c r="E72" i="22" a="1"/>
  <c r="J71" i="22"/>
  <c r="J71" i="19"/>
  <c r="E72" i="19" a="1"/>
  <c r="J74" i="26" l="1"/>
  <c r="E75" i="26" a="1"/>
  <c r="F72" i="19"/>
  <c r="E72" i="19"/>
  <c r="G72" i="19"/>
  <c r="G72" i="22"/>
  <c r="E72" i="22"/>
  <c r="F72" i="22"/>
  <c r="E75" i="26" l="1"/>
  <c r="F75" i="26"/>
  <c r="G75" i="26"/>
  <c r="J72" i="19"/>
  <c r="E73" i="19" a="1"/>
  <c r="E73" i="22" a="1"/>
  <c r="J72" i="22"/>
  <c r="J75" i="26" l="1"/>
  <c r="E76" i="26" a="1"/>
  <c r="G73" i="19"/>
  <c r="E73" i="19"/>
  <c r="F73" i="19"/>
  <c r="F73" i="22"/>
  <c r="E73" i="22"/>
  <c r="G73" i="22"/>
  <c r="E76" i="26" l="1"/>
  <c r="G76" i="26"/>
  <c r="F76" i="26"/>
  <c r="J73" i="19"/>
  <c r="E74" i="19" a="1"/>
  <c r="J73" i="22"/>
  <c r="E74" i="22" a="1"/>
  <c r="J76" i="26" l="1"/>
  <c r="E77" i="26" a="1"/>
  <c r="E74" i="22"/>
  <c r="F74" i="22"/>
  <c r="G74" i="22"/>
  <c r="E74" i="19"/>
  <c r="G74" i="19"/>
  <c r="F74" i="19"/>
  <c r="E77" i="26" l="1"/>
  <c r="G77" i="26"/>
  <c r="F77" i="26"/>
  <c r="E75" i="22" a="1"/>
  <c r="J74" i="22"/>
  <c r="J74" i="19"/>
  <c r="E75" i="19" a="1"/>
  <c r="J77" i="26" l="1"/>
  <c r="E78" i="26" a="1"/>
  <c r="G75" i="19"/>
  <c r="F75" i="19"/>
  <c r="E75" i="19"/>
  <c r="E75" i="22"/>
  <c r="F75" i="22"/>
  <c r="G75" i="22"/>
  <c r="G78" i="26" l="1"/>
  <c r="E78" i="26"/>
  <c r="F78" i="26"/>
  <c r="J75" i="19"/>
  <c r="E76" i="19" a="1"/>
  <c r="E76" i="22" a="1"/>
  <c r="J75" i="22"/>
  <c r="J78" i="26" l="1"/>
  <c r="E79" i="26" a="1"/>
  <c r="G76" i="22"/>
  <c r="E76" i="22"/>
  <c r="F76" i="22"/>
  <c r="E76" i="19"/>
  <c r="G76" i="19"/>
  <c r="F76" i="19"/>
  <c r="F79" i="26" l="1"/>
  <c r="E79" i="26"/>
  <c r="G79" i="26"/>
  <c r="E77" i="22" a="1"/>
  <c r="J76" i="22"/>
  <c r="J76" i="19"/>
  <c r="E77" i="19" a="1"/>
  <c r="J79" i="26" l="1"/>
  <c r="E80" i="26" a="1"/>
  <c r="G77" i="19"/>
  <c r="F77" i="19"/>
  <c r="E77" i="19"/>
  <c r="F77" i="22"/>
  <c r="E77" i="22"/>
  <c r="G77" i="22"/>
  <c r="E80" i="26" l="1"/>
  <c r="F80" i="26"/>
  <c r="G80" i="26"/>
  <c r="E78" i="22" a="1"/>
  <c r="J77" i="22"/>
  <c r="J77" i="19"/>
  <c r="E78" i="19" a="1"/>
  <c r="E81" i="26" l="1" a="1"/>
  <c r="J80" i="26"/>
  <c r="G78" i="19"/>
  <c r="E78" i="19"/>
  <c r="F78" i="19"/>
  <c r="E78" i="22"/>
  <c r="F78" i="22"/>
  <c r="G78" i="22"/>
  <c r="F81" i="26" l="1"/>
  <c r="E81" i="26"/>
  <c r="G81" i="26"/>
  <c r="E79" i="22" a="1"/>
  <c r="J78" i="22"/>
  <c r="J78" i="19"/>
  <c r="E79" i="19" a="1"/>
  <c r="J81" i="26" l="1"/>
  <c r="E82" i="26" a="1"/>
  <c r="F79" i="19"/>
  <c r="E79" i="19"/>
  <c r="G79" i="19"/>
  <c r="F79" i="22"/>
  <c r="G79" i="22"/>
  <c r="E79" i="22"/>
  <c r="G82" i="26" l="1"/>
  <c r="E82" i="26"/>
  <c r="F82" i="26"/>
  <c r="J79" i="19"/>
  <c r="E80" i="19" a="1"/>
  <c r="E80" i="22" a="1"/>
  <c r="J79" i="22"/>
  <c r="E83" i="26" l="1" a="1"/>
  <c r="J82" i="26"/>
  <c r="G80" i="22"/>
  <c r="F80" i="22"/>
  <c r="E80" i="22"/>
  <c r="E80" i="19"/>
  <c r="G80" i="19"/>
  <c r="F80" i="19"/>
  <c r="G83" i="26" l="1"/>
  <c r="F83" i="26"/>
  <c r="E83" i="26"/>
  <c r="J80" i="22"/>
  <c r="E81" i="22" a="1"/>
  <c r="J80" i="19"/>
  <c r="E81" i="19" a="1"/>
  <c r="J83" i="26" l="1"/>
  <c r="E84" i="26" a="1"/>
  <c r="G81" i="19"/>
  <c r="F81" i="19"/>
  <c r="E81" i="19"/>
  <c r="F81" i="22"/>
  <c r="G81" i="22"/>
  <c r="E81" i="22"/>
  <c r="E84" i="26" l="1"/>
  <c r="F84" i="26"/>
  <c r="G84" i="26"/>
  <c r="E82" i="22" a="1"/>
  <c r="J81" i="22"/>
  <c r="J81" i="19"/>
  <c r="E82" i="19" a="1"/>
  <c r="E85" i="26" l="1" a="1"/>
  <c r="J84" i="26"/>
  <c r="F82" i="19"/>
  <c r="E82" i="19"/>
  <c r="G82" i="19"/>
  <c r="E82" i="22"/>
  <c r="G82" i="22"/>
  <c r="F82" i="22"/>
  <c r="E85" i="26" l="1"/>
  <c r="G85" i="26"/>
  <c r="F85" i="26"/>
  <c r="J82" i="19"/>
  <c r="E83" i="19" a="1"/>
  <c r="E83" i="22" a="1"/>
  <c r="J82" i="22"/>
  <c r="E86" i="26" l="1" a="1"/>
  <c r="J85" i="26"/>
  <c r="F83" i="19"/>
  <c r="E83" i="19"/>
  <c r="G83" i="19"/>
  <c r="G83" i="22"/>
  <c r="F83" i="22"/>
  <c r="E83" i="22"/>
  <c r="F86" i="26" l="1"/>
  <c r="E86" i="26"/>
  <c r="G86" i="26"/>
  <c r="J83" i="19"/>
  <c r="E84" i="19" a="1"/>
  <c r="E84" i="22" a="1"/>
  <c r="J83" i="22"/>
  <c r="J86" i="26" l="1"/>
  <c r="E87" i="26" a="1"/>
  <c r="E84" i="19"/>
  <c r="G84" i="19"/>
  <c r="F84" i="19"/>
  <c r="G84" i="22"/>
  <c r="E84" i="22"/>
  <c r="F84" i="22"/>
  <c r="E87" i="26" l="1"/>
  <c r="G87" i="26"/>
  <c r="F87" i="26"/>
  <c r="J84" i="22"/>
  <c r="E85" i="22" a="1"/>
  <c r="J84" i="19"/>
  <c r="E85" i="19" a="1"/>
  <c r="E88" i="26" l="1" a="1"/>
  <c r="F88" i="26" s="1"/>
  <c r="J87" i="26"/>
  <c r="F85" i="22"/>
  <c r="G85" i="22"/>
  <c r="E85" i="22"/>
  <c r="G85" i="19"/>
  <c r="F85" i="19"/>
  <c r="E85" i="19"/>
  <c r="E88" i="26" l="1"/>
  <c r="G88" i="26"/>
  <c r="E89" i="26" a="1"/>
  <c r="E86" i="22" a="1"/>
  <c r="J85" i="22"/>
  <c r="J85" i="19"/>
  <c r="E86" i="19" a="1"/>
  <c r="J88" i="26" l="1"/>
  <c r="E89" i="26"/>
  <c r="G89" i="26"/>
  <c r="F89" i="26"/>
  <c r="G86" i="19"/>
  <c r="E86" i="19"/>
  <c r="F86" i="19"/>
  <c r="E86" i="22"/>
  <c r="F86" i="22"/>
  <c r="G86" i="22"/>
  <c r="E90" i="26" l="1" a="1"/>
  <c r="J89" i="26"/>
  <c r="E87" i="22" a="1"/>
  <c r="J86" i="22"/>
  <c r="J86" i="19"/>
  <c r="E87" i="19" a="1"/>
  <c r="F90" i="26" l="1"/>
  <c r="E90" i="26"/>
  <c r="G90" i="26"/>
  <c r="F87" i="19"/>
  <c r="E87" i="19"/>
  <c r="G87" i="19"/>
  <c r="E87" i="22"/>
  <c r="G87" i="22"/>
  <c r="F87" i="22"/>
  <c r="E91" i="26" l="1" a="1"/>
  <c r="J90" i="26"/>
  <c r="J87" i="19"/>
  <c r="E88" i="19" a="1"/>
  <c r="E88" i="22" a="1"/>
  <c r="J87" i="22"/>
  <c r="F91" i="26" l="1"/>
  <c r="E91" i="26"/>
  <c r="G91" i="26"/>
  <c r="E88" i="19"/>
  <c r="G88" i="19"/>
  <c r="F88" i="19"/>
  <c r="G88" i="22"/>
  <c r="E88" i="22"/>
  <c r="F88" i="22"/>
  <c r="E92" i="26" l="1" a="1"/>
  <c r="J91" i="26"/>
  <c r="E89" i="22" a="1"/>
  <c r="J88" i="22"/>
  <c r="J88" i="19"/>
  <c r="E89" i="19" a="1"/>
  <c r="F92" i="26" l="1"/>
  <c r="G92" i="26"/>
  <c r="E92" i="26"/>
  <c r="E89" i="19"/>
  <c r="F89" i="19"/>
  <c r="G89" i="19"/>
  <c r="F89" i="22"/>
  <c r="E89" i="22"/>
  <c r="G89" i="22"/>
  <c r="J92" i="26" l="1"/>
  <c r="E93" i="26" a="1"/>
  <c r="J89" i="22"/>
  <c r="E90" i="22" a="1"/>
  <c r="J89" i="19"/>
  <c r="E90" i="19" a="1"/>
  <c r="E93" i="26" l="1"/>
  <c r="G93" i="26"/>
  <c r="F93" i="26"/>
  <c r="E90" i="22"/>
  <c r="F90" i="22"/>
  <c r="G90" i="22"/>
  <c r="F90" i="19"/>
  <c r="E90" i="19"/>
  <c r="G90" i="19"/>
  <c r="J93" i="26" l="1"/>
  <c r="E94" i="26" a="1"/>
  <c r="J90" i="19"/>
  <c r="E91" i="19" a="1"/>
  <c r="E91" i="22" a="1"/>
  <c r="J90" i="22"/>
  <c r="E94" i="26" l="1"/>
  <c r="G94" i="26"/>
  <c r="F94" i="26"/>
  <c r="E91" i="22"/>
  <c r="F91" i="22"/>
  <c r="G91" i="22"/>
  <c r="F91" i="19"/>
  <c r="E91" i="19"/>
  <c r="G91" i="19"/>
  <c r="J94" i="26" l="1"/>
  <c r="E95" i="26" a="1"/>
  <c r="J91" i="19"/>
  <c r="E92" i="19" a="1"/>
  <c r="E92" i="22" a="1"/>
  <c r="J91" i="22"/>
  <c r="G95" i="26" l="1"/>
  <c r="F95" i="26"/>
  <c r="E95" i="26"/>
  <c r="E92" i="19"/>
  <c r="G92" i="19"/>
  <c r="F92" i="19"/>
  <c r="E92" i="22"/>
  <c r="F92" i="22"/>
  <c r="G92" i="22"/>
  <c r="J95" i="26" l="1"/>
  <c r="E96" i="26" a="1"/>
  <c r="J92" i="22"/>
  <c r="E93" i="22" a="1"/>
  <c r="E93" i="19" a="1"/>
  <c r="J92" i="19"/>
  <c r="G96" i="26" l="1"/>
  <c r="F96" i="26"/>
  <c r="E96" i="26"/>
  <c r="G93" i="22"/>
  <c r="F93" i="22"/>
  <c r="E93" i="22"/>
  <c r="G93" i="19"/>
  <c r="F93" i="19"/>
  <c r="E93" i="19"/>
  <c r="J96" i="26" l="1"/>
  <c r="E97" i="26" a="1"/>
  <c r="E94" i="22" a="1"/>
  <c r="J93" i="22"/>
  <c r="J93" i="19"/>
  <c r="E94" i="19" a="1"/>
  <c r="F97" i="26" l="1"/>
  <c r="E97" i="26"/>
  <c r="G97" i="26"/>
  <c r="F94" i="19"/>
  <c r="G94" i="19"/>
  <c r="E94" i="19"/>
  <c r="G94" i="22"/>
  <c r="E94" i="22"/>
  <c r="F94" i="22"/>
  <c r="J97" i="26" l="1"/>
  <c r="E98" i="26" a="1"/>
  <c r="J94" i="19"/>
  <c r="E95" i="19" a="1"/>
  <c r="J94" i="22"/>
  <c r="E95" i="22" a="1"/>
  <c r="F98" i="26" l="1"/>
  <c r="E98" i="26"/>
  <c r="G98" i="26"/>
  <c r="F95" i="19"/>
  <c r="E95" i="19"/>
  <c r="G95" i="19"/>
  <c r="G95" i="22"/>
  <c r="E95" i="22"/>
  <c r="F95" i="22"/>
  <c r="E99" i="26" l="1" a="1"/>
  <c r="J98" i="26"/>
  <c r="E96" i="19" a="1"/>
  <c r="J95" i="19"/>
  <c r="J95" i="22"/>
  <c r="E96" i="22" a="1"/>
  <c r="G99" i="26" l="1"/>
  <c r="E99" i="26"/>
  <c r="F99" i="26"/>
  <c r="E96" i="22"/>
  <c r="F96" i="22"/>
  <c r="G96" i="22"/>
  <c r="E96" i="19"/>
  <c r="F96" i="19"/>
  <c r="G96" i="19"/>
  <c r="J99" i="26" l="1"/>
  <c r="E100" i="26" a="1"/>
  <c r="E97" i="19" a="1"/>
  <c r="J96" i="19"/>
  <c r="E97" i="22" a="1"/>
  <c r="J96" i="22"/>
  <c r="E100" i="26" l="1"/>
  <c r="G100" i="26"/>
  <c r="F100" i="26"/>
  <c r="G97" i="22"/>
  <c r="E97" i="22"/>
  <c r="F97" i="22"/>
  <c r="G97" i="19"/>
  <c r="F97" i="19"/>
  <c r="E97" i="19"/>
  <c r="J100" i="26" l="1"/>
  <c r="E101" i="26" a="1"/>
  <c r="J97" i="19"/>
  <c r="E98" i="19" a="1"/>
  <c r="J97" i="22"/>
  <c r="E98" i="22" a="1"/>
  <c r="E101" i="26" l="1"/>
  <c r="G101" i="26"/>
  <c r="F101" i="26"/>
  <c r="G98" i="22"/>
  <c r="F98" i="22"/>
  <c r="E98" i="22"/>
  <c r="G98" i="19"/>
  <c r="F98" i="19"/>
  <c r="E98" i="19"/>
  <c r="E102" i="26" l="1" a="1"/>
  <c r="J101" i="26"/>
  <c r="E99" i="22" a="1"/>
  <c r="J98" i="22"/>
  <c r="E99" i="19" a="1"/>
  <c r="J98" i="19"/>
  <c r="F102" i="26" l="1"/>
  <c r="G102" i="26"/>
  <c r="E102" i="26"/>
  <c r="E99" i="19"/>
  <c r="G99" i="19"/>
  <c r="F99" i="19"/>
  <c r="G99" i="22"/>
  <c r="E99" i="22"/>
  <c r="F99" i="22"/>
  <c r="J102" i="26" l="1"/>
  <c r="E103" i="26" a="1"/>
  <c r="E100" i="22" a="1"/>
  <c r="J99" i="22"/>
  <c r="J99" i="19"/>
  <c r="E100" i="19" a="1"/>
  <c r="E103" i="26" l="1"/>
  <c r="G103" i="26"/>
  <c r="F103" i="26"/>
  <c r="E100" i="19"/>
  <c r="G100" i="19"/>
  <c r="F100" i="19"/>
  <c r="G100" i="22"/>
  <c r="F100" i="22"/>
  <c r="E100" i="22"/>
  <c r="J103" i="26" l="1"/>
  <c r="E104" i="26" a="1"/>
  <c r="J100" i="22"/>
  <c r="E101" i="22" a="1"/>
  <c r="J100" i="19"/>
  <c r="E101" i="19" a="1"/>
  <c r="F104" i="26" l="1"/>
  <c r="E104" i="26"/>
  <c r="G104" i="26"/>
  <c r="F101" i="19"/>
  <c r="E101" i="19"/>
  <c r="G101" i="19"/>
  <c r="F101" i="22"/>
  <c r="E101" i="22"/>
  <c r="G101" i="22"/>
  <c r="J104" i="26" l="1"/>
  <c r="N21" i="26" s="1"/>
  <c r="J101" i="22"/>
  <c r="E102" i="22" a="1"/>
  <c r="E102" i="19" a="1"/>
  <c r="J101" i="19"/>
  <c r="E102" i="19" l="1"/>
  <c r="G102" i="19"/>
  <c r="F102" i="19"/>
  <c r="F102" i="22"/>
  <c r="G102" i="22"/>
  <c r="E102" i="22"/>
  <c r="E103" i="22" l="1" a="1"/>
  <c r="J102" i="22"/>
  <c r="J102" i="19"/>
  <c r="E103" i="19" a="1"/>
  <c r="E103" i="19" l="1"/>
  <c r="G103" i="19"/>
  <c r="F103" i="19"/>
  <c r="G103" i="22"/>
  <c r="E103" i="22"/>
  <c r="F103" i="22"/>
  <c r="J103" i="22" l="1"/>
  <c r="E104" i="22" a="1"/>
  <c r="E104" i="19" a="1"/>
  <c r="J103" i="19"/>
  <c r="F104" i="19" l="1"/>
  <c r="F137" i="19" s="1"/>
  <c r="H137" i="19" s="1"/>
  <c r="G104" i="19"/>
  <c r="F138" i="19" s="1"/>
  <c r="H138" i="19" s="1"/>
  <c r="E104" i="19"/>
  <c r="G104" i="22"/>
  <c r="F138" i="22" s="1"/>
  <c r="H138" i="22" s="1"/>
  <c r="F104" i="22"/>
  <c r="F137" i="22" s="1"/>
  <c r="H137" i="22" s="1"/>
  <c r="E104" i="22"/>
  <c r="F136" i="22" l="1"/>
  <c r="H136" i="22" s="1"/>
  <c r="I137" i="22" s="1"/>
  <c r="J104" i="22"/>
  <c r="J104" i="19"/>
  <c r="F136" i="19"/>
  <c r="H136" i="19" s="1"/>
  <c r="I137" i="19" s="1"/>
</calcChain>
</file>

<file path=xl/sharedStrings.xml><?xml version="1.0" encoding="utf-8"?>
<sst xmlns="http://schemas.openxmlformats.org/spreadsheetml/2006/main" count="386" uniqueCount="79">
  <si>
    <t>Result</t>
  </si>
  <si>
    <t>Coin</t>
  </si>
  <si>
    <t>M/3 Remainder</t>
  </si>
  <si>
    <t>Start M</t>
  </si>
  <si>
    <t>Game</t>
  </si>
  <si>
    <t>Flip #</t>
  </si>
  <si>
    <t>End M</t>
  </si>
  <si>
    <t>Actual</t>
  </si>
  <si>
    <t>Game B</t>
  </si>
  <si>
    <t>IF Game B is chosen</t>
  </si>
  <si>
    <t>Coin 2</t>
  </si>
  <si>
    <t>Coin 1</t>
  </si>
  <si>
    <t>amount of bias in the coin</t>
  </si>
  <si>
    <t>epsilon</t>
  </si>
  <si>
    <t>Game A</t>
  </si>
  <si>
    <t>Sample Number</t>
  </si>
  <si>
    <t>Simulation Stats</t>
  </si>
  <si>
    <t>repetitions</t>
  </si>
  <si>
    <t>seconds</t>
  </si>
  <si>
    <t>Summary Statistics</t>
  </si>
  <si>
    <t>Notes</t>
  </si>
  <si>
    <t>Average</t>
  </si>
  <si>
    <t>SD</t>
  </si>
  <si>
    <t>Max</t>
  </si>
  <si>
    <t>Min</t>
  </si>
  <si>
    <t>Only the first 100 repetitions are displayed on this worksheet.</t>
  </si>
  <si>
    <t>Prob Heads</t>
  </si>
  <si>
    <t>Results of Monte Carlo Simulation</t>
  </si>
  <si>
    <t>Var1</t>
  </si>
  <si>
    <t>Var2</t>
  </si>
  <si>
    <t>secs</t>
  </si>
  <si>
    <t>Expected M</t>
  </si>
  <si>
    <t>Analytical Solution via Markov Chain</t>
  </si>
  <si>
    <t>Mod(M,3)</t>
  </si>
  <si>
    <t>Initial M</t>
  </si>
  <si>
    <t>Transition Matrix: Game A</t>
  </si>
  <si>
    <t>Transition Matrix: Game B</t>
  </si>
  <si>
    <t>Transition Matrix: Parrondo</t>
  </si>
  <si>
    <t>A</t>
  </si>
  <si>
    <t>B</t>
  </si>
  <si>
    <t>Final M</t>
  </si>
  <si>
    <t>Random</t>
  </si>
  <si>
    <t>ABAB</t>
  </si>
  <si>
    <t>AABB</t>
  </si>
  <si>
    <t>Playing both randomly</t>
  </si>
  <si>
    <t>Steady-state probabilities</t>
  </si>
  <si>
    <t>Randomly Mixed</t>
  </si>
  <si>
    <t>Next Flip</t>
  </si>
  <si>
    <t>lose 0.01</t>
  </si>
  <si>
    <t>lose 0.81</t>
  </si>
  <si>
    <t>win 0.49</t>
  </si>
  <si>
    <t>lose 0.41</t>
  </si>
  <si>
    <t>win 0.24</t>
  </si>
  <si>
    <t>Transpose the transition matrix:</t>
  </si>
  <si>
    <t>Subtract the identity matrix:</t>
  </si>
  <si>
    <t>Finding Exact Steady-state probabilities (as # flips --&gt; infinity)</t>
  </si>
  <si>
    <t xml:space="preserve">Replace the last row (any row would work) with the </t>
  </si>
  <si>
    <t>constraint that the probabilities sum to one:</t>
  </si>
  <si>
    <t>p0</t>
  </si>
  <si>
    <t>p1</t>
  </si>
  <si>
    <t>p2</t>
  </si>
  <si>
    <t>=</t>
  </si>
  <si>
    <t>Invert the matrix:</t>
  </si>
  <si>
    <r>
      <t>Difference between probabilties at 100</t>
    </r>
    <r>
      <rPr>
        <vertAlign val="superscript"/>
        <sz val="11"/>
        <color indexed="8"/>
        <rFont val="Calibri"/>
        <family val="2"/>
      </rPr>
      <t>th</t>
    </r>
    <r>
      <rPr>
        <sz val="11"/>
        <color theme="1"/>
        <rFont val="Calibri"/>
        <family val="2"/>
        <scheme val="minor"/>
      </rPr>
      <t xml:space="preserve"> flip and steady-state:</t>
    </r>
  </si>
  <si>
    <r>
      <t>100</t>
    </r>
    <r>
      <rPr>
        <vertAlign val="superscript"/>
        <sz val="11"/>
        <color indexed="8"/>
        <rFont val="Calibri"/>
        <family val="2"/>
      </rPr>
      <t>th</t>
    </r>
    <r>
      <rPr>
        <sz val="11"/>
        <color theme="1"/>
        <rFont val="Calibri"/>
        <family val="2"/>
        <scheme val="minor"/>
      </rPr>
      <t xml:space="preserve"> flip</t>
    </r>
  </si>
  <si>
    <t>Steady-state</t>
  </si>
  <si>
    <t>Multiply both sides by the inverse to find the steady-state solution:</t>
  </si>
  <si>
    <t>Difference</t>
  </si>
  <si>
    <t>Position</t>
  </si>
  <si>
    <t>After 100 flips, the probabilities</t>
  </si>
  <si>
    <t>Conclusion</t>
  </si>
  <si>
    <t>Expected M for the next flip in the steady-state</t>
  </si>
  <si>
    <t>Epsilon = 0.005</t>
  </si>
  <si>
    <t>Understanding Parrondo's Paradox</t>
  </si>
  <si>
    <t>Table 1 in paper:</t>
  </si>
  <si>
    <t>Playing OPTIMALLY</t>
  </si>
  <si>
    <r>
      <t xml:space="preserve">Play sequence is </t>
    </r>
    <r>
      <rPr>
        <sz val="18"/>
        <color rgb="FF0070C0"/>
        <rFont val="Calibri"/>
        <family val="2"/>
        <scheme val="minor"/>
      </rPr>
      <t>AB then ABBABBABB repeatedly</t>
    </r>
  </si>
  <si>
    <t>This is a completed version of Parrondo's Paradox.</t>
  </si>
  <si>
    <t>You must ENABLE MACROS for the buttons to work.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</si>
</sst>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0"/>
    <numFmt numFmtId="167" formatCode="0.0%"/>
  </numFmts>
  <fonts count="23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b/>
      <sz val="12"/>
      <color indexed="56"/>
      <name val="Times New Roman"/>
      <family val="1"/>
    </font>
    <font>
      <b/>
      <sz val="12"/>
      <color indexed="10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  <font>
      <sz val="24"/>
      <name val="Times New Roman"/>
      <family val="1"/>
    </font>
    <font>
      <sz val="12"/>
      <color indexed="14"/>
      <name val="Times New Roman"/>
      <family val="1"/>
    </font>
    <font>
      <sz val="12"/>
      <color indexed="12"/>
      <name val="Times New Roman"/>
      <family val="1"/>
    </font>
    <font>
      <b/>
      <sz val="12"/>
      <color indexed="14"/>
      <name val="Times New Roman"/>
      <family val="1"/>
    </font>
    <font>
      <b/>
      <sz val="12"/>
      <color indexed="12"/>
      <name val="Times New Roman"/>
      <family val="1"/>
    </font>
    <font>
      <sz val="12"/>
      <color indexed="9"/>
      <name val="Times New Roman"/>
      <family val="1"/>
    </font>
    <font>
      <vertAlign val="superscript"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Engravers MT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8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10" fontId="15" fillId="0" borderId="0" xfId="5" applyNumberFormat="1" applyFont="1"/>
    <xf numFmtId="0" fontId="1" fillId="0" borderId="1" xfId="4" applyBorder="1" applyAlignment="1">
      <alignment horizontal="center" wrapText="1"/>
    </xf>
    <xf numFmtId="9" fontId="1" fillId="0" borderId="1" xfId="6" applyFont="1" applyBorder="1" applyAlignment="1">
      <alignment horizontal="center" wrapText="1"/>
    </xf>
    <xf numFmtId="0" fontId="2" fillId="0" borderId="0" xfId="3"/>
    <xf numFmtId="0" fontId="1" fillId="0" borderId="0" xfId="4" applyBorder="1" applyAlignment="1">
      <alignment wrapText="1"/>
    </xf>
    <xf numFmtId="0" fontId="1" fillId="0" borderId="0" xfId="4" applyAlignment="1">
      <alignment wrapText="1"/>
    </xf>
    <xf numFmtId="0" fontId="2" fillId="0" borderId="0" xfId="3" applyAlignment="1">
      <alignment wrapText="1"/>
    </xf>
    <xf numFmtId="0" fontId="1" fillId="0" borderId="0" xfId="1"/>
    <xf numFmtId="0" fontId="1" fillId="0" borderId="0" xfId="4" applyAlignment="1">
      <alignment horizontal="center"/>
    </xf>
    <xf numFmtId="164" fontId="1" fillId="0" borderId="0" xfId="6" applyNumberFormat="1" applyAlignment="1">
      <alignment horizontal="center"/>
    </xf>
    <xf numFmtId="0" fontId="1" fillId="0" borderId="0" xfId="4" applyFont="1" applyBorder="1"/>
    <xf numFmtId="1" fontId="1" fillId="0" borderId="2" xfId="4" applyNumberFormat="1" applyFont="1" applyBorder="1"/>
    <xf numFmtId="0" fontId="1" fillId="0" borderId="3" xfId="4" applyFont="1" applyBorder="1"/>
    <xf numFmtId="0" fontId="1" fillId="0" borderId="0" xfId="4"/>
    <xf numFmtId="1" fontId="1" fillId="0" borderId="4" xfId="4" applyNumberFormat="1" applyFont="1" applyBorder="1"/>
    <xf numFmtId="0" fontId="1" fillId="0" borderId="5" xfId="4" applyFont="1" applyBorder="1"/>
    <xf numFmtId="0" fontId="6" fillId="0" borderId="0" xfId="4" applyFont="1" applyAlignment="1">
      <alignment horizontal="center"/>
    </xf>
    <xf numFmtId="0" fontId="1" fillId="0" borderId="0" xfId="4" applyBorder="1"/>
    <xf numFmtId="1" fontId="1" fillId="0" borderId="0" xfId="4" applyNumberFormat="1" applyFont="1" applyBorder="1"/>
    <xf numFmtId="0" fontId="1" fillId="0" borderId="6" xfId="4" applyBorder="1"/>
    <xf numFmtId="164" fontId="1" fillId="0" borderId="7" xfId="6" applyNumberFormat="1" applyBorder="1"/>
    <xf numFmtId="0" fontId="1" fillId="0" borderId="8" xfId="4" applyBorder="1"/>
    <xf numFmtId="0" fontId="5" fillId="0" borderId="9" xfId="4" applyFont="1" applyBorder="1"/>
    <xf numFmtId="0" fontId="5" fillId="0" borderId="10" xfId="4" applyFont="1" applyBorder="1"/>
    <xf numFmtId="0" fontId="1" fillId="0" borderId="11" xfId="4" applyFont="1" applyBorder="1"/>
    <xf numFmtId="1" fontId="1" fillId="0" borderId="0" xfId="4" applyNumberFormat="1" applyFont="1"/>
    <xf numFmtId="0" fontId="1" fillId="0" borderId="2" xfId="4" applyFont="1" applyBorder="1"/>
    <xf numFmtId="165" fontId="1" fillId="0" borderId="12" xfId="6" applyNumberFormat="1" applyFont="1" applyBorder="1"/>
    <xf numFmtId="0" fontId="1" fillId="0" borderId="8" xfId="4" applyFont="1" applyBorder="1"/>
    <xf numFmtId="0" fontId="1" fillId="0" borderId="13" xfId="3" applyFont="1" applyBorder="1"/>
    <xf numFmtId="0" fontId="1" fillId="0" borderId="0" xfId="3" applyFont="1" applyBorder="1"/>
    <xf numFmtId="1" fontId="1" fillId="0" borderId="0" xfId="6" applyNumberFormat="1" applyFont="1"/>
    <xf numFmtId="0" fontId="1" fillId="0" borderId="2" xfId="4" applyBorder="1"/>
    <xf numFmtId="164" fontId="1" fillId="0" borderId="12" xfId="6" applyNumberFormat="1" applyBorder="1"/>
    <xf numFmtId="0" fontId="1" fillId="0" borderId="13" xfId="4" applyFont="1" applyBorder="1"/>
    <xf numFmtId="0" fontId="1" fillId="0" borderId="4" xfId="4" applyBorder="1"/>
    <xf numFmtId="164" fontId="1" fillId="0" borderId="14" xfId="6" applyNumberFormat="1" applyBorder="1"/>
    <xf numFmtId="0" fontId="1" fillId="0" borderId="15" xfId="4" applyBorder="1"/>
    <xf numFmtId="0" fontId="1" fillId="0" borderId="16" xfId="4" applyFont="1" applyBorder="1"/>
    <xf numFmtId="0" fontId="1" fillId="0" borderId="1" xfId="4" applyFont="1" applyBorder="1"/>
    <xf numFmtId="0" fontId="1" fillId="0" borderId="15" xfId="4" applyFont="1" applyBorder="1"/>
    <xf numFmtId="0" fontId="2" fillId="0" borderId="0" xfId="3" applyBorder="1"/>
    <xf numFmtId="0" fontId="6" fillId="0" borderId="0" xfId="4" applyFont="1"/>
    <xf numFmtId="0" fontId="7" fillId="0" borderId="0" xfId="4" applyFont="1" applyAlignment="1">
      <alignment horizontal="left"/>
    </xf>
    <xf numFmtId="0" fontId="1" fillId="0" borderId="0" xfId="6" applyNumberFormat="1" applyAlignment="1">
      <alignment horizontal="center"/>
    </xf>
    <xf numFmtId="0" fontId="17" fillId="0" borderId="0" xfId="0" applyFont="1"/>
    <xf numFmtId="0" fontId="0" fillId="2" borderId="0" xfId="0" applyFill="1"/>
    <xf numFmtId="0" fontId="8" fillId="0" borderId="0" xfId="4" applyFont="1" applyAlignment="1">
      <alignment horizontal="left"/>
    </xf>
    <xf numFmtId="0" fontId="9" fillId="0" borderId="0" xfId="6" applyNumberFormat="1" applyFont="1" applyAlignment="1">
      <alignment horizontal="center"/>
    </xf>
    <xf numFmtId="0" fontId="10" fillId="0" borderId="0" xfId="4" applyFont="1"/>
    <xf numFmtId="1" fontId="1" fillId="0" borderId="0" xfId="4" applyNumberFormat="1"/>
    <xf numFmtId="9" fontId="9" fillId="0" borderId="1" xfId="6" applyFont="1" applyBorder="1" applyAlignment="1">
      <alignment horizontal="center" wrapText="1"/>
    </xf>
    <xf numFmtId="9" fontId="10" fillId="0" borderId="1" xfId="6" applyFont="1" applyBorder="1" applyAlignment="1">
      <alignment horizontal="center" wrapText="1"/>
    </xf>
    <xf numFmtId="164" fontId="9" fillId="0" borderId="0" xfId="6" applyNumberFormat="1" applyFont="1" applyAlignment="1">
      <alignment horizontal="center"/>
    </xf>
    <xf numFmtId="164" fontId="10" fillId="0" borderId="0" xfId="4" applyNumberFormat="1" applyFont="1"/>
    <xf numFmtId="0" fontId="1" fillId="0" borderId="5" xfId="4" applyBorder="1"/>
    <xf numFmtId="0" fontId="9" fillId="0" borderId="2" xfId="4" applyFont="1" applyBorder="1"/>
    <xf numFmtId="164" fontId="9" fillId="0" borderId="3" xfId="6" applyNumberFormat="1" applyFont="1" applyBorder="1"/>
    <xf numFmtId="0" fontId="10" fillId="0" borderId="2" xfId="4" applyFont="1" applyBorder="1"/>
    <xf numFmtId="164" fontId="10" fillId="0" borderId="3" xfId="6" applyNumberFormat="1" applyFont="1" applyBorder="1"/>
    <xf numFmtId="0" fontId="5" fillId="0" borderId="11" xfId="4" applyFont="1" applyBorder="1"/>
    <xf numFmtId="165" fontId="9" fillId="0" borderId="3" xfId="6" applyNumberFormat="1" applyFont="1" applyBorder="1"/>
    <xf numFmtId="165" fontId="10" fillId="0" borderId="3" xfId="6" applyNumberFormat="1" applyFont="1" applyBorder="1"/>
    <xf numFmtId="0" fontId="5" fillId="0" borderId="0" xfId="4" applyFont="1" applyBorder="1"/>
    <xf numFmtId="0" fontId="5" fillId="0" borderId="8" xfId="4" applyFont="1" applyBorder="1"/>
    <xf numFmtId="1" fontId="1" fillId="0" borderId="0" xfId="6" applyNumberFormat="1"/>
    <xf numFmtId="0" fontId="9" fillId="0" borderId="4" xfId="4" applyFont="1" applyBorder="1"/>
    <xf numFmtId="164" fontId="9" fillId="0" borderId="5" xfId="6" applyNumberFormat="1" applyFont="1" applyBorder="1"/>
    <xf numFmtId="0" fontId="10" fillId="0" borderId="4" xfId="4" applyFont="1" applyBorder="1"/>
    <xf numFmtId="164" fontId="10" fillId="0" borderId="5" xfId="6" applyNumberFormat="1" applyFont="1" applyBorder="1"/>
    <xf numFmtId="1" fontId="13" fillId="0" borderId="0" xfId="4" applyNumberFormat="1" applyFont="1"/>
    <xf numFmtId="0" fontId="1" fillId="0" borderId="0" xfId="4" applyFont="1"/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166" fontId="0" fillId="0" borderId="17" xfId="0" applyNumberFormat="1" applyBorder="1"/>
    <xf numFmtId="0" fontId="0" fillId="0" borderId="17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Fill="1"/>
    <xf numFmtId="0" fontId="16" fillId="0" borderId="0" xfId="0" applyFont="1"/>
    <xf numFmtId="0" fontId="18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9" fillId="0" borderId="0" xfId="0" quotePrefix="1" applyFont="1" applyAlignment="1">
      <alignment horizontal="center"/>
    </xf>
    <xf numFmtId="0" fontId="0" fillId="0" borderId="0" xfId="0" applyAlignment="1">
      <alignment horizontal="center" wrapText="1"/>
    </xf>
    <xf numFmtId="167" fontId="15" fillId="0" borderId="0" xfId="5" applyNumberFormat="1" applyFont="1" applyAlignment="1">
      <alignment horizontal="center"/>
    </xf>
    <xf numFmtId="166" fontId="0" fillId="0" borderId="17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/>
    <xf numFmtId="0" fontId="3" fillId="0" borderId="18" xfId="4" applyFont="1" applyBorder="1" applyAlignment="1">
      <alignment horizontal="center" wrapText="1"/>
    </xf>
    <xf numFmtId="0" fontId="1" fillId="0" borderId="19" xfId="1" applyBorder="1" applyAlignment="1">
      <alignment horizontal="center" wrapText="1"/>
    </xf>
    <xf numFmtId="0" fontId="4" fillId="0" borderId="20" xfId="4" applyFont="1" applyBorder="1" applyAlignment="1">
      <alignment horizontal="center"/>
    </xf>
    <xf numFmtId="0" fontId="4" fillId="0" borderId="21" xfId="4" applyFont="1" applyBorder="1" applyAlignment="1">
      <alignment horizontal="center"/>
    </xf>
    <xf numFmtId="0" fontId="4" fillId="0" borderId="22" xfId="4" applyFont="1" applyBorder="1" applyAlignment="1">
      <alignment horizontal="center"/>
    </xf>
    <xf numFmtId="0" fontId="5" fillId="0" borderId="21" xfId="4" applyFont="1" applyBorder="1" applyAlignment="1">
      <alignment horizontal="center"/>
    </xf>
    <xf numFmtId="0" fontId="5" fillId="0" borderId="22" xfId="4" applyFont="1" applyBorder="1" applyAlignment="1">
      <alignment horizontal="center"/>
    </xf>
    <xf numFmtId="0" fontId="3" fillId="0" borderId="19" xfId="4" applyFont="1" applyBorder="1" applyAlignment="1">
      <alignment horizontal="center" wrapText="1"/>
    </xf>
    <xf numFmtId="0" fontId="11" fillId="0" borderId="9" xfId="4" applyFont="1" applyBorder="1" applyAlignment="1">
      <alignment horizontal="center"/>
    </xf>
    <xf numFmtId="0" fontId="11" fillId="0" borderId="11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0" fillId="0" borderId="0" xfId="0" applyAlignment="1">
      <alignment horizontal="center"/>
    </xf>
  </cellXfs>
  <cellStyles count="7">
    <cellStyle name="Normal" xfId="0" builtinId="0"/>
    <cellStyle name="Normal 2" xfId="1" xr:uid="{00000000-0005-0000-0000-000001000000}"/>
    <cellStyle name="Normal 3" xfId="2" xr:uid="{00000000-0005-0000-0000-000002000000}"/>
    <cellStyle name="Normal_AutoCorr" xfId="3" xr:uid="{00000000-0005-0000-0000-000003000000}"/>
    <cellStyle name="Normal_MonteCarlo" xfId="4" xr:uid="{00000000-0005-0000-0000-000004000000}"/>
    <cellStyle name="Percent" xfId="5" builtinId="5"/>
    <cellStyle name="Percent 2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 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99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30-40F9-AFD3-8FCFFEE607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DGP!$A$8:$A$107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DGP!$C$8:$C$107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11</c:v>
                </c:pt>
                <c:pt idx="43">
                  <c:v>10</c:v>
                </c:pt>
                <c:pt idx="44">
                  <c:v>9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7</c:v>
                </c:pt>
                <c:pt idx="51">
                  <c:v>8</c:v>
                </c:pt>
                <c:pt idx="52">
                  <c:v>7</c:v>
                </c:pt>
                <c:pt idx="53">
                  <c:v>6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5</c:v>
                </c:pt>
                <c:pt idx="63">
                  <c:v>6</c:v>
                </c:pt>
                <c:pt idx="64">
                  <c:v>7</c:v>
                </c:pt>
                <c:pt idx="65">
                  <c:v>8</c:v>
                </c:pt>
                <c:pt idx="66">
                  <c:v>7</c:v>
                </c:pt>
                <c:pt idx="67">
                  <c:v>6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6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7</c:v>
                </c:pt>
                <c:pt idx="85">
                  <c:v>8</c:v>
                </c:pt>
                <c:pt idx="86">
                  <c:v>9</c:v>
                </c:pt>
                <c:pt idx="87">
                  <c:v>10</c:v>
                </c:pt>
                <c:pt idx="88">
                  <c:v>11</c:v>
                </c:pt>
                <c:pt idx="89">
                  <c:v>12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10</c:v>
                </c:pt>
                <c:pt idx="94">
                  <c:v>11</c:v>
                </c:pt>
                <c:pt idx="95">
                  <c:v>10</c:v>
                </c:pt>
                <c:pt idx="96">
                  <c:v>11</c:v>
                </c:pt>
                <c:pt idx="97">
                  <c:v>10</c:v>
                </c:pt>
                <c:pt idx="98">
                  <c:v>9</c:v>
                </c:pt>
                <c:pt idx="9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30-40F9-AFD3-8FCFFEE60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36272"/>
        <c:axId val="1"/>
      </c:scatterChart>
      <c:valAx>
        <c:axId val="1972636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36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 B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DGP!$G$8:$G$107</c:f>
            </c:numRef>
          </c:xVal>
          <c:yVal>
            <c:numRef>
              <c:f>DGP!$L$8:$L$107</c:f>
            </c:numRef>
          </c:yVal>
          <c:smooth val="0"/>
          <c:extLst>
            <c:ext xmlns:c16="http://schemas.microsoft.com/office/drawing/2014/chart" uri="{C3380CC4-5D6E-409C-BE32-E72D297353CC}">
              <c16:uniqueId val="{00000000-3D43-4716-9F60-B84AF481A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35024"/>
        <c:axId val="1"/>
      </c:scatterChart>
      <c:valAx>
        <c:axId val="197263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350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Games A and B Mixed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DGP!$N$8:$N$107</c:f>
            </c:numRef>
          </c:xVal>
          <c:yVal>
            <c:numRef>
              <c:f>DGP!$U$8:$U$107</c:f>
            </c:numRef>
          </c:yVal>
          <c:smooth val="0"/>
          <c:extLst>
            <c:ext xmlns:c16="http://schemas.microsoft.com/office/drawing/2014/chart" uri="{C3380CC4-5D6E-409C-BE32-E72D297353CC}">
              <c16:uniqueId val="{00000000-B341-47EF-9476-B308444E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29200"/>
        <c:axId val="1"/>
      </c:scatterChart>
      <c:valAx>
        <c:axId val="197262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29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Flip #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MC!$J$4</c:f>
              <c:strCache>
                <c:ptCount val="1"/>
                <c:pt idx="0">
                  <c:v>Expected M</c:v>
                </c:pt>
              </c:strCache>
            </c:strRef>
          </c:tx>
          <c:marker>
            <c:symbol val="none"/>
          </c:marker>
          <c:dLbls>
            <c:dLbl>
              <c:idx val="99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94-49A4-B49B-8BC27A555B7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MC!$I$5:$I$104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MC!$J$5:$J$104</c:f>
              <c:numCache>
                <c:formatCode>0.000000</c:formatCode>
                <c:ptCount val="100"/>
                <c:pt idx="0">
                  <c:v>-0.81</c:v>
                </c:pt>
                <c:pt idx="1">
                  <c:v>-0.32000000000000006</c:v>
                </c:pt>
                <c:pt idx="2">
                  <c:v>-0.73798500000000011</c:v>
                </c:pt>
                <c:pt idx="3">
                  <c:v>-0.39303250000000012</c:v>
                </c:pt>
                <c:pt idx="4">
                  <c:v>-0.70970907362500013</c:v>
                </c:pt>
                <c:pt idx="5">
                  <c:v>-0.44988132518750018</c:v>
                </c:pt>
                <c:pt idx="6">
                  <c:v>-0.69273663492279081</c:v>
                </c:pt>
                <c:pt idx="7">
                  <c:v>-0.49723235621941425</c:v>
                </c:pt>
                <c:pt idx="8">
                  <c:v>-0.68400080373907568</c:v>
                </c:pt>
                <c:pt idx="9">
                  <c:v>-0.53740649611574343</c:v>
                </c:pt>
                <c:pt idx="10">
                  <c:v>-0.68152286420706942</c:v>
                </c:pt>
                <c:pt idx="11">
                  <c:v>-0.57212350598881667</c:v>
                </c:pt>
                <c:pt idx="12">
                  <c:v>-0.68380383043727966</c:v>
                </c:pt>
                <c:pt idx="13">
                  <c:v>-0.60269048938201819</c:v>
                </c:pt>
                <c:pt idx="14">
                  <c:v>-0.68970384823694242</c:v>
                </c:pt>
                <c:pt idx="15">
                  <c:v>-0.63010146041025905</c:v>
                </c:pt>
                <c:pt idx="16">
                  <c:v>-0.69835608272270433</c:v>
                </c:pt>
                <c:pt idx="17">
                  <c:v>-0.65511234683202124</c:v>
                </c:pt>
                <c:pt idx="18">
                  <c:v>-0.70910132323819319</c:v>
                </c:pt>
                <c:pt idx="19">
                  <c:v>-0.67829801666402423</c:v>
                </c:pt>
                <c:pt idx="20">
                  <c:v>-0.72143825319567467</c:v>
                </c:pt>
                <c:pt idx="21">
                  <c:v>-0.70009564559503723</c:v>
                </c:pt>
                <c:pt idx="22">
                  <c:v>-0.73498563130465588</c:v>
                </c:pt>
                <c:pt idx="23">
                  <c:v>-0.72083769703807843</c:v>
                </c:pt>
                <c:pt idx="24">
                  <c:v>-0.74945353114910529</c:v>
                </c:pt>
                <c:pt idx="25">
                  <c:v>-0.74077700280387182</c:v>
                </c:pt>
                <c:pt idx="26">
                  <c:v>-0.76462146945816745</c:v>
                </c:pt>
                <c:pt idx="27">
                  <c:v>-0.76010583645399121</c:v>
                </c:pt>
                <c:pt idx="28">
                  <c:v>-0.78032177309121442</c:v>
                </c:pt>
                <c:pt idx="29">
                  <c:v>-0.7789704182064322</c:v>
                </c:pt>
                <c:pt idx="30">
                  <c:v>-0.79642692996091635</c:v>
                </c:pt>
                <c:pt idx="31">
                  <c:v>-0.7974819456277018</c:v>
                </c:pt>
                <c:pt idx="32">
                  <c:v>-0.81283996966190974</c:v>
                </c:pt>
                <c:pt idx="33">
                  <c:v>-0.81572498225468026</c:v>
                </c:pt>
                <c:pt idx="34">
                  <c:v>-0.82948714813029312</c:v>
                </c:pt>
                <c:pt idx="35">
                  <c:v>-0.83376383697464196</c:v>
                </c:pt>
                <c:pt idx="36">
                  <c:v>-0.84631238447272161</c:v>
                </c:pt>
                <c:pt idx="37">
                  <c:v>-0.85164741541683364</c:v>
                </c:pt>
                <c:pt idx="38">
                  <c:v>-0.8632730302856233</c:v>
                </c:pt>
                <c:pt idx="39">
                  <c:v>-0.86941290933924431</c:v>
                </c:pt>
                <c:pt idx="40">
                  <c:v>-0.88033665230663805</c:v>
                </c:pt>
                <c:pt idx="41">
                  <c:v>-0.88708860233383657</c:v>
                </c:pt>
                <c:pt idx="42">
                  <c:v>-0.89747858568505112</c:v>
                </c:pt>
                <c:pt idx="43">
                  <c:v>-0.90469600350955182</c:v>
                </c:pt>
                <c:pt idx="44">
                  <c:v>-0.91468007329263945</c:v>
                </c:pt>
                <c:pt idx="45">
                  <c:v>-0.92225147011578334</c:v>
                </c:pt>
                <c:pt idx="46">
                  <c:v>-0.93192685070659154</c:v>
                </c:pt>
                <c:pt idx="47">
                  <c:v>-0.93976744151524105</c:v>
                </c:pt>
                <c:pt idx="48">
                  <c:v>-0.94920807011717212</c:v>
                </c:pt>
                <c:pt idx="49">
                  <c:v>-0.95725337759576601</c:v>
                </c:pt>
                <c:pt idx="50">
                  <c:v>-0.96651548198091175</c:v>
                </c:pt>
                <c:pt idx="51">
                  <c:v>-0.97471647241384196</c:v>
                </c:pt>
                <c:pt idx="52">
                  <c:v>-0.9838428126841392</c:v>
                </c:pt>
                <c:pt idx="53">
                  <c:v>-0.99216219690628782</c:v>
                </c:pt>
                <c:pt idx="54">
                  <c:v>-1.0011852912684809</c:v>
                </c:pt>
                <c:pt idx="55">
                  <c:v>-1.0095947116117017</c:v>
                </c:pt>
                <c:pt idx="56">
                  <c:v>-1.0185392895150192</c:v>
                </c:pt>
                <c:pt idx="57">
                  <c:v>-1.0270171805369068</c:v>
                </c:pt>
                <c:pt idx="58">
                  <c:v>-1.0359020482354566</c:v>
                </c:pt>
                <c:pt idx="59">
                  <c:v>-1.0444320098461399</c:v>
                </c:pt>
                <c:pt idx="60">
                  <c:v>-1.0532714691219911</c:v>
                </c:pt>
                <c:pt idx="61">
                  <c:v>-1.061841029379428</c:v>
                </c:pt>
                <c:pt idx="62">
                  <c:v>-1.0706459564532882</c:v>
                </c:pt>
                <c:pt idx="63">
                  <c:v>-1.0792456306937046</c:v>
                </c:pt>
                <c:pt idx="64">
                  <c:v>-1.0880242967150222</c:v>
                </c:pt>
                <c:pt idx="65">
                  <c:v>-1.09664687204033</c:v>
                </c:pt>
                <c:pt idx="66">
                  <c:v>-1.1054055670536935</c:v>
                </c:pt>
                <c:pt idx="67">
                  <c:v>-1.1140455581984088</c:v>
                </c:pt>
                <c:pt idx="68">
                  <c:v>-1.1227890656575776</c:v>
                </c:pt>
                <c:pt idx="69">
                  <c:v>-1.1314423011864372</c:v>
                </c:pt>
                <c:pt idx="70">
                  <c:v>-1.140174258812821</c:v>
                </c:pt>
                <c:pt idx="71">
                  <c:v>-1.1488375664323049</c:v>
                </c:pt>
                <c:pt idx="72">
                  <c:v>-1.1575607406406574</c:v>
                </c:pt>
                <c:pt idx="73">
                  <c:v>-1.1662317078846611</c:v>
                </c:pt>
                <c:pt idx="74">
                  <c:v>-1.1749482024783606</c:v>
                </c:pt>
                <c:pt idx="75">
                  <c:v>-1.1836249947144115</c:v>
                </c:pt>
                <c:pt idx="76">
                  <c:v>-1.1923364095940687</c:v>
                </c:pt>
                <c:pt idx="77">
                  <c:v>-1.2010176316206742</c:v>
                </c:pt>
                <c:pt idx="78">
                  <c:v>-1.2097251834788709</c:v>
                </c:pt>
                <c:pt idx="79">
                  <c:v>-1.2184097742730555</c:v>
                </c:pt>
                <c:pt idx="80">
                  <c:v>-1.2271143883802926</c:v>
                </c:pt>
                <c:pt idx="81">
                  <c:v>-1.2358015410551946</c:v>
                </c:pt>
                <c:pt idx="82">
                  <c:v>-1.2445039210612778</c:v>
                </c:pt>
                <c:pt idx="83">
                  <c:v>-1.2531930219954925</c:v>
                </c:pt>
                <c:pt idx="84">
                  <c:v>-1.2618937030120991</c:v>
                </c:pt>
                <c:pt idx="85">
                  <c:v>-1.2705842855587575</c:v>
                </c:pt>
                <c:pt idx="86">
                  <c:v>-1.2792836745276712</c:v>
                </c:pt>
                <c:pt idx="87">
                  <c:v>-1.2879753838111141</c:v>
                </c:pt>
                <c:pt idx="88">
                  <c:v>-1.2966737902034648</c:v>
                </c:pt>
                <c:pt idx="89">
                  <c:v>-1.3053663563478142</c:v>
                </c:pt>
                <c:pt idx="90">
                  <c:v>-1.3140640155102385</c:v>
                </c:pt>
                <c:pt idx="91">
                  <c:v>-1.3227572332802586</c:v>
                </c:pt>
                <c:pt idx="92">
                  <c:v>-1.3314543241891912</c:v>
                </c:pt>
                <c:pt idx="93">
                  <c:v>-1.3401480375075687</c:v>
                </c:pt>
                <c:pt idx="94">
                  <c:v>-1.348844696271027</c:v>
                </c:pt>
                <c:pt idx="95">
                  <c:v>-1.3575387864440707</c:v>
                </c:pt>
                <c:pt idx="96">
                  <c:v>-1.3662351165694941</c:v>
                </c:pt>
                <c:pt idx="97">
                  <c:v>-1.3749294933330134</c:v>
                </c:pt>
                <c:pt idx="98">
                  <c:v>-1.3836255735357501</c:v>
                </c:pt>
                <c:pt idx="99">
                  <c:v>-1.3923201682456239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9A4-B49B-8BC27A55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37104"/>
        <c:axId val="1"/>
      </c:scatterChart>
      <c:valAx>
        <c:axId val="197263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37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MCParr!$J$4</c:f>
              <c:strCache>
                <c:ptCount val="1"/>
                <c:pt idx="0">
                  <c:v>Expected M</c:v>
                </c:pt>
              </c:strCache>
            </c:strRef>
          </c:tx>
          <c:marker>
            <c:symbol val="none"/>
          </c:marker>
          <c:dLbls>
            <c:dLbl>
              <c:idx val="99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E4D-426B-9C9A-F8E3CA34B1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MCParr!$I$5:$I$104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MCParr!$J$5:$J$104</c:f>
              <c:numCache>
                <c:formatCode>0.000000</c:formatCode>
                <c:ptCount val="100"/>
                <c:pt idx="0">
                  <c:v>-0.41000000000000009</c:v>
                </c:pt>
                <c:pt idx="1">
                  <c:v>-0.1700000000000001</c:v>
                </c:pt>
                <c:pt idx="2">
                  <c:v>-0.28698000000000018</c:v>
                </c:pt>
                <c:pt idx="3">
                  <c:v>-0.18686000000000019</c:v>
                </c:pt>
                <c:pt idx="4">
                  <c:v>-0.22701790400000027</c:v>
                </c:pt>
                <c:pt idx="5">
                  <c:v>-0.17361782400000028</c:v>
                </c:pt>
                <c:pt idx="6">
                  <c:v>-0.18358792305920033</c:v>
                </c:pt>
                <c:pt idx="7">
                  <c:v>-0.15032152121600034</c:v>
                </c:pt>
                <c:pt idx="8">
                  <c:v>-0.1466543577416605</c:v>
                </c:pt>
                <c:pt idx="9">
                  <c:v>-0.122692450892657</c:v>
                </c:pt>
                <c:pt idx="10">
                  <c:v>-0.11265553132133846</c:v>
                </c:pt>
                <c:pt idx="11">
                  <c:v>-9.3061053246562594E-2</c:v>
                </c:pt>
                <c:pt idx="12">
                  <c:v>-8.002747641308626E-2</c:v>
                </c:pt>
                <c:pt idx="13">
                  <c:v>-6.2489784928254424E-2</c:v>
                </c:pt>
                <c:pt idx="14">
                  <c:v>-4.8044302147650417E-2</c:v>
                </c:pt>
                <c:pt idx="15">
                  <c:v>-3.1475896135790299E-2</c:v>
                </c:pt>
                <c:pt idx="16">
                  <c:v>-1.6364970042036422E-2</c:v>
                </c:pt>
                <c:pt idx="17">
                  <c:v>-2.5341710954261687E-4</c:v>
                </c:pt>
                <c:pt idx="18">
                  <c:v>1.5171158662587725E-2</c:v>
                </c:pt>
                <c:pt idx="19">
                  <c:v>3.1067376699384655E-2</c:v>
                </c:pt>
                <c:pt idx="20">
                  <c:v>4.6639789956425204E-2</c:v>
                </c:pt>
                <c:pt idx="21">
                  <c:v>6.2434510577865879E-2</c:v>
                </c:pt>
                <c:pt idx="22">
                  <c:v>7.8076606623509986E-2</c:v>
                </c:pt>
                <c:pt idx="23">
                  <c:v>9.3823486700131742E-2</c:v>
                </c:pt>
                <c:pt idx="24">
                  <c:v>0.10949842755448731</c:v>
                </c:pt>
                <c:pt idx="25">
                  <c:v>0.12522275810764266</c:v>
                </c:pt>
                <c:pt idx="26">
                  <c:v>0.14091318028262992</c:v>
                </c:pt>
                <c:pt idx="27">
                  <c:v>0.15662688217260357</c:v>
                </c:pt>
                <c:pt idx="28">
                  <c:v>0.1723246014305726</c:v>
                </c:pt>
                <c:pt idx="29">
                  <c:v>0.18803329352588116</c:v>
                </c:pt>
                <c:pt idx="30">
                  <c:v>0.20373445224625761</c:v>
                </c:pt>
                <c:pt idx="31">
                  <c:v>0.21944078298697073</c:v>
                </c:pt>
                <c:pt idx="32">
                  <c:v>0.23514356288963262</c:v>
                </c:pt>
                <c:pt idx="33">
                  <c:v>0.25084878061156923</c:v>
                </c:pt>
                <c:pt idx="34">
                  <c:v>0.26655232465457968</c:v>
                </c:pt>
                <c:pt idx="35">
                  <c:v>0.28225701775780843</c:v>
                </c:pt>
                <c:pt idx="36">
                  <c:v>0.2979609219765238</c:v>
                </c:pt>
                <c:pt idx="37">
                  <c:v>0.3136653678019935</c:v>
                </c:pt>
                <c:pt idx="38">
                  <c:v>0.32936944178865618</c:v>
                </c:pt>
                <c:pt idx="39">
                  <c:v>0.34507377106035236</c:v>
                </c:pt>
                <c:pt idx="40">
                  <c:v>0.36077792506672635</c:v>
                </c:pt>
                <c:pt idx="41">
                  <c:v>0.3764821994010833</c:v>
                </c:pt>
                <c:pt idx="42">
                  <c:v>0.39218639112455461</c:v>
                </c:pt>
                <c:pt idx="43">
                  <c:v>0.40789063956432964</c:v>
                </c:pt>
                <c:pt idx="44">
                  <c:v>0.42359484906566353</c:v>
                </c:pt>
                <c:pt idx="45">
                  <c:v>0.43929908530008999</c:v>
                </c:pt>
                <c:pt idx="46">
                  <c:v>0.45500330318097643</c:v>
                </c:pt>
                <c:pt idx="47">
                  <c:v>0.47070753366244139</c:v>
                </c:pt>
                <c:pt idx="48">
                  <c:v>0.48641175549300963</c:v>
                </c:pt>
                <c:pt idx="49">
                  <c:v>0.50211598326283013</c:v>
                </c:pt>
                <c:pt idx="50">
                  <c:v>0.51782020695507136</c:v>
                </c:pt>
                <c:pt idx="51">
                  <c:v>0.5335244334467647</c:v>
                </c:pt>
                <c:pt idx="52">
                  <c:v>0.549228658016501</c:v>
                </c:pt>
                <c:pt idx="53">
                  <c:v>0.56493288390575225</c:v>
                </c:pt>
                <c:pt idx="54">
                  <c:v>0.5806371088890937</c:v>
                </c:pt>
                <c:pt idx="55">
                  <c:v>0.59634133449438531</c:v>
                </c:pt>
                <c:pt idx="56">
                  <c:v>0.6120455596726786</c:v>
                </c:pt>
                <c:pt idx="57">
                  <c:v>0.6277497851441266</c:v>
                </c:pt>
                <c:pt idx="58">
                  <c:v>0.64345401041430994</c:v>
                </c:pt>
                <c:pt idx="59">
                  <c:v>0.65915823582267097</c:v>
                </c:pt>
                <c:pt idx="60">
                  <c:v>0.67486246113616644</c:v>
                </c:pt>
                <c:pt idx="61">
                  <c:v>0.69056668651479169</c:v>
                </c:pt>
                <c:pt idx="62">
                  <c:v>0.70627091184870228</c:v>
                </c:pt>
                <c:pt idx="63">
                  <c:v>0.72197513721331164</c:v>
                </c:pt>
                <c:pt idx="64">
                  <c:v>0.73767936255684474</c:v>
                </c:pt>
                <c:pt idx="65">
                  <c:v>0.75338358791484761</c:v>
                </c:pt>
                <c:pt idx="66">
                  <c:v>0.76908781326291631</c:v>
                </c:pt>
                <c:pt idx="67">
                  <c:v>0.78479203861780533</c:v>
                </c:pt>
                <c:pt idx="68">
                  <c:v>0.80049626396801188</c:v>
                </c:pt>
                <c:pt idx="69">
                  <c:v>0.81620048932143319</c:v>
                </c:pt>
                <c:pt idx="70">
                  <c:v>0.83190471467264748</c:v>
                </c:pt>
                <c:pt idx="71">
                  <c:v>0.84760894002537701</c:v>
                </c:pt>
                <c:pt idx="72">
                  <c:v>0.86331316537706626</c:v>
                </c:pt>
                <c:pt idx="73">
                  <c:v>0.87901739072946961</c:v>
                </c:pt>
                <c:pt idx="74">
                  <c:v>0.89472161608138268</c:v>
                </c:pt>
                <c:pt idx="75">
                  <c:v>0.91042584143363237</c:v>
                </c:pt>
                <c:pt idx="76">
                  <c:v>0.92613006678565091</c:v>
                </c:pt>
                <c:pt idx="77">
                  <c:v>0.94183429213782821</c:v>
                </c:pt>
                <c:pt idx="78">
                  <c:v>0.95753851748989649</c:v>
                </c:pt>
                <c:pt idx="79">
                  <c:v>0.9732427428420396</c:v>
                </c:pt>
                <c:pt idx="80">
                  <c:v>0.98894696819413141</c:v>
                </c:pt>
                <c:pt idx="81">
                  <c:v>1.0046511935462585</c:v>
                </c:pt>
                <c:pt idx="82">
                  <c:v>1.0203554188983615</c:v>
                </c:pt>
                <c:pt idx="83">
                  <c:v>1.0360596442504808</c:v>
                </c:pt>
                <c:pt idx="84">
                  <c:v>1.0517638696025888</c:v>
                </c:pt>
                <c:pt idx="85">
                  <c:v>1.0674680949547046</c:v>
                </c:pt>
                <c:pt idx="86">
                  <c:v>1.0831723203068151</c:v>
                </c:pt>
                <c:pt idx="87">
                  <c:v>1.0988765456589293</c:v>
                </c:pt>
                <c:pt idx="88">
                  <c:v>1.1145807710110409</c:v>
                </c:pt>
                <c:pt idx="89">
                  <c:v>1.1302849963631543</c:v>
                </c:pt>
                <c:pt idx="90">
                  <c:v>1.1459892217152665</c:v>
                </c:pt>
                <c:pt idx="91">
                  <c:v>1.1616934470673796</c:v>
                </c:pt>
                <c:pt idx="92">
                  <c:v>1.1773976724194921</c:v>
                </c:pt>
                <c:pt idx="93">
                  <c:v>1.193101897771605</c:v>
                </c:pt>
                <c:pt idx="94">
                  <c:v>1.2088061231237175</c:v>
                </c:pt>
                <c:pt idx="95">
                  <c:v>1.2245103484758302</c:v>
                </c:pt>
                <c:pt idx="96">
                  <c:v>1.2402145738279429</c:v>
                </c:pt>
                <c:pt idx="97">
                  <c:v>1.2559187991800556</c:v>
                </c:pt>
                <c:pt idx="98">
                  <c:v>1.2716230245321682</c:v>
                </c:pt>
                <c:pt idx="99">
                  <c:v>1.2873272498842809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4D-426B-9C9A-F8E3CA34B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21296"/>
        <c:axId val="1"/>
      </c:scatterChart>
      <c:valAx>
        <c:axId val="197262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212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 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99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6B-43F6-B5C6-1F7ACE400C3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Optimal!$A$8:$A$107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Optimal!$C$8:$C$107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  <c:pt idx="14">
                  <c:v>-5</c:v>
                </c:pt>
                <c:pt idx="15">
                  <c:v>-4</c:v>
                </c:pt>
                <c:pt idx="16">
                  <c:v>-3</c:v>
                </c:pt>
                <c:pt idx="17">
                  <c:v>-2</c:v>
                </c:pt>
                <c:pt idx="18">
                  <c:v>-1</c:v>
                </c:pt>
                <c:pt idx="19">
                  <c:v>-2</c:v>
                </c:pt>
                <c:pt idx="20">
                  <c:v>-1</c:v>
                </c:pt>
                <c:pt idx="21">
                  <c:v>-2</c:v>
                </c:pt>
                <c:pt idx="22">
                  <c:v>-3</c:v>
                </c:pt>
                <c:pt idx="23">
                  <c:v>-4</c:v>
                </c:pt>
                <c:pt idx="24">
                  <c:v>-5</c:v>
                </c:pt>
                <c:pt idx="25">
                  <c:v>-4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-4</c:v>
                </c:pt>
                <c:pt idx="30">
                  <c:v>-5</c:v>
                </c:pt>
                <c:pt idx="31">
                  <c:v>-6</c:v>
                </c:pt>
                <c:pt idx="32">
                  <c:v>-7</c:v>
                </c:pt>
                <c:pt idx="33">
                  <c:v>-8</c:v>
                </c:pt>
                <c:pt idx="34">
                  <c:v>-7</c:v>
                </c:pt>
                <c:pt idx="35">
                  <c:v>-8</c:v>
                </c:pt>
                <c:pt idx="36">
                  <c:v>-9</c:v>
                </c:pt>
                <c:pt idx="37">
                  <c:v>-8</c:v>
                </c:pt>
                <c:pt idx="38">
                  <c:v>-9</c:v>
                </c:pt>
                <c:pt idx="39">
                  <c:v>-8</c:v>
                </c:pt>
                <c:pt idx="40">
                  <c:v>-7</c:v>
                </c:pt>
                <c:pt idx="41">
                  <c:v>-8</c:v>
                </c:pt>
                <c:pt idx="42">
                  <c:v>-7</c:v>
                </c:pt>
                <c:pt idx="43">
                  <c:v>-6</c:v>
                </c:pt>
                <c:pt idx="44">
                  <c:v>-5</c:v>
                </c:pt>
                <c:pt idx="45">
                  <c:v>-6</c:v>
                </c:pt>
                <c:pt idx="46">
                  <c:v>-5</c:v>
                </c:pt>
                <c:pt idx="47">
                  <c:v>-4</c:v>
                </c:pt>
                <c:pt idx="48">
                  <c:v>-3</c:v>
                </c:pt>
                <c:pt idx="49">
                  <c:v>-2</c:v>
                </c:pt>
                <c:pt idx="50">
                  <c:v>-1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6</c:v>
                </c:pt>
                <c:pt idx="64">
                  <c:v>7</c:v>
                </c:pt>
                <c:pt idx="65">
                  <c:v>6</c:v>
                </c:pt>
                <c:pt idx="66">
                  <c:v>7</c:v>
                </c:pt>
                <c:pt idx="67">
                  <c:v>6</c:v>
                </c:pt>
                <c:pt idx="68">
                  <c:v>5</c:v>
                </c:pt>
                <c:pt idx="69">
                  <c:v>4</c:v>
                </c:pt>
                <c:pt idx="70">
                  <c:v>3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-1</c:v>
                </c:pt>
                <c:pt idx="91">
                  <c:v>0</c:v>
                </c:pt>
                <c:pt idx="92">
                  <c:v>-1</c:v>
                </c:pt>
                <c:pt idx="93">
                  <c:v>0</c:v>
                </c:pt>
                <c:pt idx="94">
                  <c:v>1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B-43F6-B5C6-1F7ACE400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36272"/>
        <c:axId val="1"/>
      </c:scatterChart>
      <c:valAx>
        <c:axId val="1972636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36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 B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Optimal!$G$8:$G$107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Optimal!$L$8:$L$107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6</c:v>
                </c:pt>
                <c:pt idx="32">
                  <c:v>5</c:v>
                </c:pt>
                <c:pt idx="33">
                  <c:v>4</c:v>
                </c:pt>
                <c:pt idx="34">
                  <c:v>5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8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8</c:v>
                </c:pt>
                <c:pt idx="50">
                  <c:v>9</c:v>
                </c:pt>
                <c:pt idx="51">
                  <c:v>8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6</c:v>
                </c:pt>
                <c:pt idx="64">
                  <c:v>7</c:v>
                </c:pt>
                <c:pt idx="65">
                  <c:v>8</c:v>
                </c:pt>
                <c:pt idx="66">
                  <c:v>9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7</c:v>
                </c:pt>
                <c:pt idx="73">
                  <c:v>8</c:v>
                </c:pt>
                <c:pt idx="74">
                  <c:v>9</c:v>
                </c:pt>
                <c:pt idx="75">
                  <c:v>10</c:v>
                </c:pt>
                <c:pt idx="76">
                  <c:v>11</c:v>
                </c:pt>
                <c:pt idx="77">
                  <c:v>12</c:v>
                </c:pt>
                <c:pt idx="78">
                  <c:v>11</c:v>
                </c:pt>
                <c:pt idx="79">
                  <c:v>12</c:v>
                </c:pt>
                <c:pt idx="80">
                  <c:v>11</c:v>
                </c:pt>
                <c:pt idx="81">
                  <c:v>12</c:v>
                </c:pt>
                <c:pt idx="82">
                  <c:v>11</c:v>
                </c:pt>
                <c:pt idx="83">
                  <c:v>10</c:v>
                </c:pt>
                <c:pt idx="84">
                  <c:v>11</c:v>
                </c:pt>
                <c:pt idx="85">
                  <c:v>12</c:v>
                </c:pt>
                <c:pt idx="86">
                  <c:v>11</c:v>
                </c:pt>
                <c:pt idx="87">
                  <c:v>10</c:v>
                </c:pt>
                <c:pt idx="88">
                  <c:v>11</c:v>
                </c:pt>
                <c:pt idx="89">
                  <c:v>10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12</c:v>
                </c:pt>
                <c:pt idx="94">
                  <c:v>11</c:v>
                </c:pt>
                <c:pt idx="95">
                  <c:v>12</c:v>
                </c:pt>
                <c:pt idx="96">
                  <c:v>11</c:v>
                </c:pt>
                <c:pt idx="97">
                  <c:v>12</c:v>
                </c:pt>
                <c:pt idx="98">
                  <c:v>11</c:v>
                </c:pt>
                <c:pt idx="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E-4DBF-95B5-879F99F3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35024"/>
        <c:axId val="1"/>
      </c:scatterChart>
      <c:valAx>
        <c:axId val="197263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350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Games A and B OPTIMALLY Mixed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Optimal!$N$8:$N$107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Optimal!$U$8:$U$107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-4</c:v>
                </c:pt>
                <c:pt idx="14">
                  <c:v>-5</c:v>
                </c:pt>
                <c:pt idx="15">
                  <c:v>-6</c:v>
                </c:pt>
                <c:pt idx="16">
                  <c:v>-7</c:v>
                </c:pt>
                <c:pt idx="17">
                  <c:v>-6</c:v>
                </c:pt>
                <c:pt idx="18">
                  <c:v>-7</c:v>
                </c:pt>
                <c:pt idx="19">
                  <c:v>-6</c:v>
                </c:pt>
                <c:pt idx="20">
                  <c:v>-5</c:v>
                </c:pt>
                <c:pt idx="21">
                  <c:v>-4</c:v>
                </c:pt>
                <c:pt idx="22">
                  <c:v>-5</c:v>
                </c:pt>
                <c:pt idx="23">
                  <c:v>-6</c:v>
                </c:pt>
                <c:pt idx="24">
                  <c:v>-7</c:v>
                </c:pt>
                <c:pt idx="25">
                  <c:v>-6</c:v>
                </c:pt>
                <c:pt idx="26">
                  <c:v>-7</c:v>
                </c:pt>
                <c:pt idx="27">
                  <c:v>-6</c:v>
                </c:pt>
                <c:pt idx="28">
                  <c:v>-5</c:v>
                </c:pt>
                <c:pt idx="29">
                  <c:v>-6</c:v>
                </c:pt>
                <c:pt idx="30">
                  <c:v>-7</c:v>
                </c:pt>
                <c:pt idx="31">
                  <c:v>-6</c:v>
                </c:pt>
                <c:pt idx="32">
                  <c:v>-7</c:v>
                </c:pt>
                <c:pt idx="33">
                  <c:v>-6</c:v>
                </c:pt>
                <c:pt idx="34">
                  <c:v>-7</c:v>
                </c:pt>
                <c:pt idx="35">
                  <c:v>-8</c:v>
                </c:pt>
                <c:pt idx="36">
                  <c:v>-7</c:v>
                </c:pt>
                <c:pt idx="37">
                  <c:v>-6</c:v>
                </c:pt>
                <c:pt idx="38">
                  <c:v>-7</c:v>
                </c:pt>
                <c:pt idx="39">
                  <c:v>-6</c:v>
                </c:pt>
                <c:pt idx="40">
                  <c:v>-7</c:v>
                </c:pt>
                <c:pt idx="41">
                  <c:v>-8</c:v>
                </c:pt>
                <c:pt idx="42">
                  <c:v>-7</c:v>
                </c:pt>
                <c:pt idx="43">
                  <c:v>-6</c:v>
                </c:pt>
                <c:pt idx="44">
                  <c:v>-5</c:v>
                </c:pt>
                <c:pt idx="45">
                  <c:v>-6</c:v>
                </c:pt>
                <c:pt idx="46">
                  <c:v>-7</c:v>
                </c:pt>
                <c:pt idx="47">
                  <c:v>-6</c:v>
                </c:pt>
                <c:pt idx="48">
                  <c:v>-7</c:v>
                </c:pt>
                <c:pt idx="49">
                  <c:v>-6</c:v>
                </c:pt>
                <c:pt idx="50">
                  <c:v>-5</c:v>
                </c:pt>
                <c:pt idx="51">
                  <c:v>-6</c:v>
                </c:pt>
                <c:pt idx="52">
                  <c:v>-7</c:v>
                </c:pt>
                <c:pt idx="53">
                  <c:v>-6</c:v>
                </c:pt>
                <c:pt idx="54">
                  <c:v>-7</c:v>
                </c:pt>
                <c:pt idx="55">
                  <c:v>-6</c:v>
                </c:pt>
                <c:pt idx="56">
                  <c:v>-5</c:v>
                </c:pt>
                <c:pt idx="57">
                  <c:v>-6</c:v>
                </c:pt>
                <c:pt idx="58">
                  <c:v>-7</c:v>
                </c:pt>
                <c:pt idx="59">
                  <c:v>-6</c:v>
                </c:pt>
                <c:pt idx="60">
                  <c:v>-7</c:v>
                </c:pt>
                <c:pt idx="61">
                  <c:v>-6</c:v>
                </c:pt>
                <c:pt idx="62">
                  <c:v>-5</c:v>
                </c:pt>
                <c:pt idx="63">
                  <c:v>-4</c:v>
                </c:pt>
                <c:pt idx="64">
                  <c:v>-5</c:v>
                </c:pt>
                <c:pt idx="65">
                  <c:v>-6</c:v>
                </c:pt>
                <c:pt idx="66">
                  <c:v>-5</c:v>
                </c:pt>
                <c:pt idx="67">
                  <c:v>-4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-1</c:v>
                </c:pt>
                <c:pt idx="77">
                  <c:v>0</c:v>
                </c:pt>
                <c:pt idx="78">
                  <c:v>-1</c:v>
                </c:pt>
                <c:pt idx="79">
                  <c:v>0</c:v>
                </c:pt>
                <c:pt idx="80">
                  <c:v>-1</c:v>
                </c:pt>
                <c:pt idx="81">
                  <c:v>0</c:v>
                </c:pt>
                <c:pt idx="82">
                  <c:v>-1</c:v>
                </c:pt>
                <c:pt idx="83">
                  <c:v>-2</c:v>
                </c:pt>
                <c:pt idx="84">
                  <c:v>-1</c:v>
                </c:pt>
                <c:pt idx="85">
                  <c:v>0</c:v>
                </c:pt>
                <c:pt idx="86">
                  <c:v>-1</c:v>
                </c:pt>
                <c:pt idx="87">
                  <c:v>0</c:v>
                </c:pt>
                <c:pt idx="88">
                  <c:v>-1</c:v>
                </c:pt>
                <c:pt idx="89">
                  <c:v>-2</c:v>
                </c:pt>
                <c:pt idx="90">
                  <c:v>-1</c:v>
                </c:pt>
                <c:pt idx="91">
                  <c:v>0</c:v>
                </c:pt>
                <c:pt idx="92">
                  <c:v>-1</c:v>
                </c:pt>
                <c:pt idx="93">
                  <c:v>0</c:v>
                </c:pt>
                <c:pt idx="94">
                  <c:v>-1</c:v>
                </c:pt>
                <c:pt idx="95">
                  <c:v>0</c:v>
                </c:pt>
                <c:pt idx="96">
                  <c:v>-1</c:v>
                </c:pt>
                <c:pt idx="97">
                  <c:v>-2</c:v>
                </c:pt>
                <c:pt idx="98">
                  <c:v>-1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1-42D4-8C75-EF4714B5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29200"/>
        <c:axId val="1"/>
      </c:scatterChart>
      <c:valAx>
        <c:axId val="197262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Flip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29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Flip #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MCParrOpt!$J$4</c:f>
              <c:strCache>
                <c:ptCount val="1"/>
                <c:pt idx="0">
                  <c:v>Expected M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89"/>
              <c:tx>
                <c:rich>
                  <a:bodyPr/>
                  <a:lstStyle/>
                  <a:p>
                    <a:pPr>
                      <a:defRPr/>
                    </a:pPr>
                    <a:endParaRPr lang="en-US"/>
                  </a:p>
                </c:rich>
              </c:tx>
              <c:spPr/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CE-47BE-8CF6-BD9E94E8F1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pPr>
                      <a:defRPr/>
                    </a:pPr>
                    <a:endParaRPr lang="en-US"/>
                  </a:p>
                </c:rich>
              </c:tx>
              <c:spPr/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CE-47BE-8CF6-BD9E94E8F1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pPr>
                      <a:defRPr/>
                    </a:pPr>
                    <a:endParaRPr lang="en-US"/>
                  </a:p>
                </c:rich>
              </c:tx>
              <c:spPr/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CE-47BE-8CF6-BD9E94E8F1F6}"/>
                </c:ext>
              </c:extLst>
            </c:dLbl>
            <c:dLbl>
              <c:idx val="99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E-47BE-8CF6-BD9E94E8F1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MCParrOpt!$I$5:$I$104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MCParrOpt!$J$5:$J$104</c:f>
              <c:numCache>
                <c:formatCode>0.000000</c:formatCode>
                <c:ptCount val="100"/>
                <c:pt idx="0">
                  <c:v>-1.0000000000000009E-2</c:v>
                </c:pt>
                <c:pt idx="1">
                  <c:v>0.48</c:v>
                </c:pt>
                <c:pt idx="2">
                  <c:v>0.47</c:v>
                </c:pt>
                <c:pt idx="3">
                  <c:v>0.6381524999999999</c:v>
                </c:pt>
                <c:pt idx="4">
                  <c:v>0.67648829512499997</c:v>
                </c:pt>
                <c:pt idx="5">
                  <c:v>0.66648829512499996</c:v>
                </c:pt>
                <c:pt idx="6">
                  <c:v>0.79064408928502183</c:v>
                </c:pt>
                <c:pt idx="7">
                  <c:v>0.84803512655827351</c:v>
                </c:pt>
                <c:pt idx="8">
                  <c:v>0.8380351265582735</c:v>
                </c:pt>
                <c:pt idx="9">
                  <c:v>0.96916311503058994</c:v>
                </c:pt>
                <c:pt idx="10">
                  <c:v>1.0205425343573746</c:v>
                </c:pt>
                <c:pt idx="11">
                  <c:v>1.0105425343573746</c:v>
                </c:pt>
                <c:pt idx="12">
                  <c:v>1.1390933915019743</c:v>
                </c:pt>
                <c:pt idx="13">
                  <c:v>1.1927536610284173</c:v>
                </c:pt>
                <c:pt idx="14">
                  <c:v>1.1827536610284173</c:v>
                </c:pt>
                <c:pt idx="15">
                  <c:v>1.3122860252828836</c:v>
                </c:pt>
                <c:pt idx="16">
                  <c:v>1.3650771320895785</c:v>
                </c:pt>
                <c:pt idx="17">
                  <c:v>1.3550771320895785</c:v>
                </c:pt>
                <c:pt idx="18">
                  <c:v>1.4842354432345426</c:v>
                </c:pt>
                <c:pt idx="19">
                  <c:v>1.537357792664412</c:v>
                </c:pt>
                <c:pt idx="20">
                  <c:v>1.527357792664412</c:v>
                </c:pt>
                <c:pt idx="21">
                  <c:v>1.656658657726422</c:v>
                </c:pt>
                <c:pt idx="22">
                  <c:v>1.7096547685431338</c:v>
                </c:pt>
                <c:pt idx="23">
                  <c:v>1.6996547685431338</c:v>
                </c:pt>
                <c:pt idx="24">
                  <c:v>1.8289013054233074</c:v>
                </c:pt>
                <c:pt idx="25">
                  <c:v>1.8819455265586342</c:v>
                </c:pt>
                <c:pt idx="26">
                  <c:v>1.8719455265586342</c:v>
                </c:pt>
                <c:pt idx="27">
                  <c:v>2.0012127682459555</c:v>
                </c:pt>
                <c:pt idx="28">
                  <c:v>2.0542386542403812</c:v>
                </c:pt>
                <c:pt idx="29">
                  <c:v>2.044238654240381</c:v>
                </c:pt>
                <c:pt idx="30">
                  <c:v>2.1734980051972457</c:v>
                </c:pt>
                <c:pt idx="31">
                  <c:v>2.2265308788276204</c:v>
                </c:pt>
                <c:pt idx="32">
                  <c:v>2.2165308788276201</c:v>
                </c:pt>
                <c:pt idx="33">
                  <c:v>2.3457932369908159</c:v>
                </c:pt>
                <c:pt idx="34">
                  <c:v>2.3988234475897792</c:v>
                </c:pt>
                <c:pt idx="35">
                  <c:v>2.3888234475897789</c:v>
                </c:pt>
                <c:pt idx="36">
                  <c:v>2.5180846596879851</c:v>
                </c:pt>
                <c:pt idx="37">
                  <c:v>2.5711158851847409</c:v>
                </c:pt>
                <c:pt idx="38">
                  <c:v>2.5611158851847406</c:v>
                </c:pt>
                <c:pt idx="39">
                  <c:v>2.6903775340554246</c:v>
                </c:pt>
                <c:pt idx="40">
                  <c:v>2.7434083727683349</c:v>
                </c:pt>
                <c:pt idx="41">
                  <c:v>2.7334083727683347</c:v>
                </c:pt>
                <c:pt idx="42">
                  <c:v>2.8626698551823178</c:v>
                </c:pt>
                <c:pt idx="43">
                  <c:v>2.9157008413009513</c:v>
                </c:pt>
                <c:pt idx="44">
                  <c:v>2.9057008413009511</c:v>
                </c:pt>
                <c:pt idx="45">
                  <c:v>3.0349623871526155</c:v>
                </c:pt>
                <c:pt idx="46">
                  <c:v>3.0879933170940133</c:v>
                </c:pt>
                <c:pt idx="47">
                  <c:v>3.077993317094013</c:v>
                </c:pt>
                <c:pt idx="48">
                  <c:v>3.2072548387691833</c:v>
                </c:pt>
                <c:pt idx="49">
                  <c:v>3.2602857901200744</c:v>
                </c:pt>
                <c:pt idx="50">
                  <c:v>3.2502857901200741</c:v>
                </c:pt>
                <c:pt idx="51">
                  <c:v>3.3795473210090563</c:v>
                </c:pt>
                <c:pt idx="52">
                  <c:v>3.4325782642006564</c:v>
                </c:pt>
                <c:pt idx="53">
                  <c:v>3.4225782642006561</c:v>
                </c:pt>
                <c:pt idx="54">
                  <c:v>3.5518397915781974</c:v>
                </c:pt>
                <c:pt idx="55">
                  <c:v>3.6048707378793541</c:v>
                </c:pt>
                <c:pt idx="56">
                  <c:v>3.5948707378793539</c:v>
                </c:pt>
                <c:pt idx="57">
                  <c:v>3.7241322665951273</c:v>
                </c:pt>
                <c:pt idx="58">
                  <c:v>3.7771632117112128</c:v>
                </c:pt>
                <c:pt idx="59">
                  <c:v>3.7671632117112126</c:v>
                </c:pt>
                <c:pt idx="60">
                  <c:v>3.8964247399169776</c:v>
                </c:pt>
                <c:pt idx="61">
                  <c:v>3.9494556854847009</c:v>
                </c:pt>
                <c:pt idx="62">
                  <c:v>3.9394556854847007</c:v>
                </c:pt>
                <c:pt idx="63">
                  <c:v>4.0687172138848329</c:v>
                </c:pt>
                <c:pt idx="64">
                  <c:v>4.1217481592804344</c:v>
                </c:pt>
                <c:pt idx="65">
                  <c:v>4.1117481592804346</c:v>
                </c:pt>
                <c:pt idx="66">
                  <c:v>4.2410096876064918</c:v>
                </c:pt>
                <c:pt idx="67">
                  <c:v>4.2940406330676897</c:v>
                </c:pt>
                <c:pt idx="68">
                  <c:v>4.2840406330676899</c:v>
                </c:pt>
                <c:pt idx="69">
                  <c:v>4.4133021614219778</c:v>
                </c:pt>
                <c:pt idx="70">
                  <c:v>4.4663331068581762</c:v>
                </c:pt>
                <c:pt idx="71">
                  <c:v>4.4563331068581764</c:v>
                </c:pt>
                <c:pt idx="72">
                  <c:v>4.5855946352017058</c:v>
                </c:pt>
                <c:pt idx="73">
                  <c:v>4.6386255806474317</c:v>
                </c:pt>
                <c:pt idx="74">
                  <c:v>4.6286255806474319</c:v>
                </c:pt>
                <c:pt idx="75">
                  <c:v>4.7578871089950612</c:v>
                </c:pt>
                <c:pt idx="76">
                  <c:v>4.8109180544371561</c:v>
                </c:pt>
                <c:pt idx="77">
                  <c:v>4.8009180544371564</c:v>
                </c:pt>
                <c:pt idx="78">
                  <c:v>4.9301795827832233</c:v>
                </c:pt>
                <c:pt idx="79">
                  <c:v>4.9832105282267021</c:v>
                </c:pt>
                <c:pt idx="80">
                  <c:v>4.9732105282267023</c:v>
                </c:pt>
                <c:pt idx="81">
                  <c:v>5.1024720565733643</c:v>
                </c:pt>
                <c:pt idx="82">
                  <c:v>5.1555030020163164</c:v>
                </c:pt>
                <c:pt idx="83">
                  <c:v>5.1455030020163166</c:v>
                </c:pt>
                <c:pt idx="84">
                  <c:v>5.2747645303627522</c:v>
                </c:pt>
                <c:pt idx="85">
                  <c:v>5.327795475805905</c:v>
                </c:pt>
                <c:pt idx="86">
                  <c:v>5.3177954758059052</c:v>
                </c:pt>
                <c:pt idx="87">
                  <c:v>5.4470570041524269</c:v>
                </c:pt>
                <c:pt idx="88">
                  <c:v>5.5000879495955033</c:v>
                </c:pt>
                <c:pt idx="89">
                  <c:v>5.4900879495955035</c:v>
                </c:pt>
                <c:pt idx="90">
                  <c:v>5.6193494779419924</c:v>
                </c:pt>
                <c:pt idx="91">
                  <c:v>5.6723804233850981</c:v>
                </c:pt>
                <c:pt idx="92">
                  <c:v>5.6623804233850983</c:v>
                </c:pt>
                <c:pt idx="93">
                  <c:v>5.7916419517315996</c:v>
                </c:pt>
                <c:pt idx="94">
                  <c:v>5.8446728971746937</c:v>
                </c:pt>
                <c:pt idx="95">
                  <c:v>5.834672897174694</c:v>
                </c:pt>
                <c:pt idx="96">
                  <c:v>5.9639344255211908</c:v>
                </c:pt>
                <c:pt idx="97">
                  <c:v>6.0169653709642894</c:v>
                </c:pt>
                <c:pt idx="98">
                  <c:v>6.0069653709642896</c:v>
                </c:pt>
                <c:pt idx="99">
                  <c:v>6.1362268993107882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CE-47BE-8CF6-BD9E94E8F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27536"/>
        <c:axId val="1"/>
      </c:scatterChart>
      <c:valAx>
        <c:axId val="1972627536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Money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2627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31" fmlaLink="$Z$1" fmlaRange="$AA$1:$AA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108</xdr:row>
      <xdr:rowOff>0</xdr:rowOff>
    </xdr:from>
    <xdr:to>
      <xdr:col>6</xdr:col>
      <xdr:colOff>0</xdr:colOff>
      <xdr:row>122</xdr:row>
      <xdr:rowOff>0</xdr:rowOff>
    </xdr:to>
    <xdr:graphicFrame macro="">
      <xdr:nvGraphicFramePr>
        <xdr:cNvPr id="2711" name="Chart 4">
          <a:extLst>
            <a:ext uri="{FF2B5EF4-FFF2-40B4-BE49-F238E27FC236}">
              <a16:creationId xmlns:a16="http://schemas.microsoft.com/office/drawing/2014/main" id="{00000000-0008-0000-0300-000097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108</xdr:row>
      <xdr:rowOff>0</xdr:rowOff>
    </xdr:from>
    <xdr:to>
      <xdr:col>12</xdr:col>
      <xdr:colOff>127000</xdr:colOff>
      <xdr:row>122</xdr:row>
      <xdr:rowOff>0</xdr:rowOff>
    </xdr:to>
    <xdr:graphicFrame macro="">
      <xdr:nvGraphicFramePr>
        <xdr:cNvPr id="2712" name="Chart 3">
          <a:extLst>
            <a:ext uri="{FF2B5EF4-FFF2-40B4-BE49-F238E27FC236}">
              <a16:creationId xmlns:a16="http://schemas.microsoft.com/office/drawing/2014/main" id="{00000000-0008-0000-0300-000098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98</xdr:col>
      <xdr:colOff>609599</xdr:colOff>
      <xdr:row>122</xdr:row>
      <xdr:rowOff>139700</xdr:rowOff>
    </xdr:from>
    <xdr:to>
      <xdr:col>106</xdr:col>
      <xdr:colOff>377752</xdr:colOff>
      <xdr:row>137</xdr:row>
      <xdr:rowOff>57150</xdr:rowOff>
    </xdr:to>
    <xdr:pic>
      <xdr:nvPicPr>
        <xdr:cNvPr id="2713" name="Picture 366">
          <a:extLst>
            <a:ext uri="{FF2B5EF4-FFF2-40B4-BE49-F238E27FC236}">
              <a16:creationId xmlns:a16="http://schemas.microsoft.com/office/drawing/2014/main" id="{00000000-0008-0000-0300-00009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35879" y="22451060"/>
          <a:ext cx="4644953" cy="2660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0</xdr:colOff>
      <xdr:row>108</xdr:row>
      <xdr:rowOff>0</xdr:rowOff>
    </xdr:from>
    <xdr:to>
      <xdr:col>19</xdr:col>
      <xdr:colOff>501650</xdr:colOff>
      <xdr:row>122</xdr:row>
      <xdr:rowOff>0</xdr:rowOff>
    </xdr:to>
    <xdr:graphicFrame macro="">
      <xdr:nvGraphicFramePr>
        <xdr:cNvPr id="2714" name="Chart 5">
          <a:extLst>
            <a:ext uri="{FF2B5EF4-FFF2-40B4-BE49-F238E27FC236}">
              <a16:creationId xmlns:a16="http://schemas.microsoft.com/office/drawing/2014/main" id="{00000000-0008-0000-0300-00009A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</xdr:colOff>
          <xdr:row>0</xdr:row>
          <xdr:rowOff>45720</xdr:rowOff>
        </xdr:from>
        <xdr:to>
          <xdr:col>4</xdr:col>
          <xdr:colOff>769620</xdr:colOff>
          <xdr:row>2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MC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0</xdr:row>
          <xdr:rowOff>45720</xdr:rowOff>
        </xdr:from>
        <xdr:to>
          <xdr:col>5</xdr:col>
          <xdr:colOff>784860</xdr:colOff>
          <xdr:row>2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</xdr:row>
          <xdr:rowOff>76200</xdr:rowOff>
        </xdr:from>
        <xdr:to>
          <xdr:col>12</xdr:col>
          <xdr:colOff>807720</xdr:colOff>
          <xdr:row>4</xdr:row>
          <xdr:rowOff>45720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Parrondo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0</xdr:row>
          <xdr:rowOff>45720</xdr:rowOff>
        </xdr:from>
        <xdr:to>
          <xdr:col>12</xdr:col>
          <xdr:colOff>800100</xdr:colOff>
          <xdr:row>2</xdr:row>
          <xdr:rowOff>22860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3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0</xdr:row>
          <xdr:rowOff>45720</xdr:rowOff>
        </xdr:from>
        <xdr:to>
          <xdr:col>21</xdr:col>
          <xdr:colOff>800100</xdr:colOff>
          <xdr:row>2</xdr:row>
          <xdr:rowOff>45720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3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Markov Parrondo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98</xdr:col>
          <xdr:colOff>609599</xdr:colOff>
          <xdr:row>1</xdr:row>
          <xdr:rowOff>60960</xdr:rowOff>
        </xdr:from>
        <xdr:to>
          <xdr:col>100</xdr:col>
          <xdr:colOff>137159</xdr:colOff>
          <xdr:row>3</xdr:row>
          <xdr:rowOff>83820</xdr:rowOff>
        </xdr:to>
        <xdr:sp macro="" textlink="">
          <xdr:nvSpPr>
            <xdr:cNvPr id="2213" name="List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3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0</xdr:row>
          <xdr:rowOff>45720</xdr:rowOff>
        </xdr:from>
        <xdr:to>
          <xdr:col>21</xdr:col>
          <xdr:colOff>800100</xdr:colOff>
          <xdr:row>2</xdr:row>
          <xdr:rowOff>45720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3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Markov Parrondo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3</xdr:row>
          <xdr:rowOff>45720</xdr:rowOff>
        </xdr:from>
        <xdr:to>
          <xdr:col>21</xdr:col>
          <xdr:colOff>800100</xdr:colOff>
          <xdr:row>6</xdr:row>
          <xdr:rowOff>60960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3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Optimal Mixing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47</xdr:col>
          <xdr:colOff>259080</xdr:colOff>
          <xdr:row>1</xdr:row>
          <xdr:rowOff>68580</xdr:rowOff>
        </xdr:from>
        <xdr:to>
          <xdr:col>48</xdr:col>
          <xdr:colOff>403860</xdr:colOff>
          <xdr:row>3</xdr:row>
          <xdr:rowOff>45720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3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MC Sim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0</xdr:rowOff>
    </xdr:from>
    <xdr:to>
      <xdr:col>11</xdr:col>
      <xdr:colOff>485845</xdr:colOff>
      <xdr:row>26</xdr:row>
      <xdr:rowOff>117545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47444" y="2935111"/>
          <a:ext cx="4352290" cy="19519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</xdr:row>
      <xdr:rowOff>165100</xdr:rowOff>
    </xdr:from>
    <xdr:to>
      <xdr:col>2</xdr:col>
      <xdr:colOff>533400</xdr:colOff>
      <xdr:row>7</xdr:row>
      <xdr:rowOff>44450</xdr:rowOff>
    </xdr:to>
    <xdr:grpSp>
      <xdr:nvGrpSpPr>
        <xdr:cNvPr id="1612890" name="Group 4">
          <a:extLst>
            <a:ext uri="{FF2B5EF4-FFF2-40B4-BE49-F238E27FC236}">
              <a16:creationId xmlns:a16="http://schemas.microsoft.com/office/drawing/2014/main" id="{00000000-0008-0000-0400-00005A9C1800}"/>
            </a:ext>
          </a:extLst>
        </xdr:cNvPr>
        <xdr:cNvGrpSpPr>
          <a:grpSpLocks/>
        </xdr:cNvGrpSpPr>
      </xdr:nvGrpSpPr>
      <xdr:grpSpPr bwMode="auto">
        <a:xfrm>
          <a:off x="38100" y="717550"/>
          <a:ext cx="1714500" cy="615950"/>
          <a:chOff x="38100" y="742950"/>
          <a:chExt cx="1714500" cy="63817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0</xdr:colOff>
      <xdr:row>4</xdr:row>
      <xdr:rowOff>0</xdr:rowOff>
    </xdr:from>
    <xdr:to>
      <xdr:col>18</xdr:col>
      <xdr:colOff>304800</xdr:colOff>
      <xdr:row>18</xdr:row>
      <xdr:rowOff>76200</xdr:rowOff>
    </xdr:to>
    <xdr:graphicFrame macro="">
      <xdr:nvGraphicFramePr>
        <xdr:cNvPr id="1612891" name="Chart 5">
          <a:extLst>
            <a:ext uri="{FF2B5EF4-FFF2-40B4-BE49-F238E27FC236}">
              <a16:creationId xmlns:a16="http://schemas.microsoft.com/office/drawing/2014/main" id="{00000000-0008-0000-0400-00005B9C1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107</xdr:row>
      <xdr:rowOff>165100</xdr:rowOff>
    </xdr:from>
    <xdr:to>
      <xdr:col>6</xdr:col>
      <xdr:colOff>558800</xdr:colOff>
      <xdr:row>111</xdr:row>
      <xdr:rowOff>44450</xdr:rowOff>
    </xdr:to>
    <xdr:grpSp>
      <xdr:nvGrpSpPr>
        <xdr:cNvPr id="1612892" name="Group 4">
          <a:extLst>
            <a:ext uri="{FF2B5EF4-FFF2-40B4-BE49-F238E27FC236}">
              <a16:creationId xmlns:a16="http://schemas.microsoft.com/office/drawing/2014/main" id="{00000000-0008-0000-0400-00005C9C1800}"/>
            </a:ext>
          </a:extLst>
        </xdr:cNvPr>
        <xdr:cNvGrpSpPr>
          <a:grpSpLocks/>
        </xdr:cNvGrpSpPr>
      </xdr:nvGrpSpPr>
      <xdr:grpSpPr bwMode="auto">
        <a:xfrm>
          <a:off x="2476500" y="19869150"/>
          <a:ext cx="1803400" cy="615950"/>
          <a:chOff x="38100" y="742950"/>
          <a:chExt cx="1714500" cy="638175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40729" y="742950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140729" y="1321913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31750</xdr:colOff>
      <xdr:row>112</xdr:row>
      <xdr:rowOff>177800</xdr:rowOff>
    </xdr:from>
    <xdr:to>
      <xdr:col>6</xdr:col>
      <xdr:colOff>552450</xdr:colOff>
      <xdr:row>116</xdr:row>
      <xdr:rowOff>57150</xdr:rowOff>
    </xdr:to>
    <xdr:grpSp>
      <xdr:nvGrpSpPr>
        <xdr:cNvPr id="1612893" name="Group 4">
          <a:extLst>
            <a:ext uri="{FF2B5EF4-FFF2-40B4-BE49-F238E27FC236}">
              <a16:creationId xmlns:a16="http://schemas.microsoft.com/office/drawing/2014/main" id="{00000000-0008-0000-0400-00005D9C1800}"/>
            </a:ext>
          </a:extLst>
        </xdr:cNvPr>
        <xdr:cNvGrpSpPr>
          <a:grpSpLocks/>
        </xdr:cNvGrpSpPr>
      </xdr:nvGrpSpPr>
      <xdr:grpSpPr bwMode="auto">
        <a:xfrm>
          <a:off x="2470150" y="20802600"/>
          <a:ext cx="1803400" cy="615950"/>
          <a:chOff x="38100" y="742950"/>
          <a:chExt cx="1714500" cy="638175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40729" y="742950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40729" y="1321913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50800</xdr:colOff>
      <xdr:row>118</xdr:row>
      <xdr:rowOff>158750</xdr:rowOff>
    </xdr:from>
    <xdr:to>
      <xdr:col>6</xdr:col>
      <xdr:colOff>571500</xdr:colOff>
      <xdr:row>122</xdr:row>
      <xdr:rowOff>38100</xdr:rowOff>
    </xdr:to>
    <xdr:grpSp>
      <xdr:nvGrpSpPr>
        <xdr:cNvPr id="1612894" name="Group 4">
          <a:extLst>
            <a:ext uri="{FF2B5EF4-FFF2-40B4-BE49-F238E27FC236}">
              <a16:creationId xmlns:a16="http://schemas.microsoft.com/office/drawing/2014/main" id="{00000000-0008-0000-0400-00005E9C1800}"/>
            </a:ext>
          </a:extLst>
        </xdr:cNvPr>
        <xdr:cNvGrpSpPr>
          <a:grpSpLocks/>
        </xdr:cNvGrpSpPr>
      </xdr:nvGrpSpPr>
      <xdr:grpSpPr bwMode="auto">
        <a:xfrm>
          <a:off x="2489200" y="21888450"/>
          <a:ext cx="1803400" cy="666750"/>
          <a:chOff x="38100" y="742950"/>
          <a:chExt cx="1714500" cy="63817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8100" y="767261"/>
            <a:ext cx="1714500" cy="559163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40729" y="742950"/>
            <a:ext cx="1545465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40729" y="1326424"/>
            <a:ext cx="1545465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9</xdr:col>
      <xdr:colOff>107950</xdr:colOff>
      <xdr:row>118</xdr:row>
      <xdr:rowOff>165100</xdr:rowOff>
    </xdr:from>
    <xdr:to>
      <xdr:col>9</xdr:col>
      <xdr:colOff>736600</xdr:colOff>
      <xdr:row>122</xdr:row>
      <xdr:rowOff>101600</xdr:rowOff>
    </xdr:to>
    <xdr:grpSp>
      <xdr:nvGrpSpPr>
        <xdr:cNvPr id="1612895" name="Group 22">
          <a:extLst>
            <a:ext uri="{FF2B5EF4-FFF2-40B4-BE49-F238E27FC236}">
              <a16:creationId xmlns:a16="http://schemas.microsoft.com/office/drawing/2014/main" id="{00000000-0008-0000-0400-00005F9C1800}"/>
            </a:ext>
          </a:extLst>
        </xdr:cNvPr>
        <xdr:cNvGrpSpPr>
          <a:grpSpLocks/>
        </xdr:cNvGrpSpPr>
      </xdr:nvGrpSpPr>
      <xdr:grpSpPr bwMode="auto">
        <a:xfrm>
          <a:off x="5969000" y="21894800"/>
          <a:ext cx="628650" cy="723900"/>
          <a:chOff x="6276976" y="22288499"/>
          <a:chExt cx="600074" cy="695326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6276976" y="22312896"/>
            <a:ext cx="600074" cy="55504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 bwMode="auto">
          <a:xfrm>
            <a:off x="6380019" y="22288499"/>
            <a:ext cx="381865" cy="5489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 bwMode="auto">
          <a:xfrm>
            <a:off x="6380019" y="22867937"/>
            <a:ext cx="381865" cy="115888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7</xdr:col>
      <xdr:colOff>31750</xdr:colOff>
      <xdr:row>118</xdr:row>
      <xdr:rowOff>177800</xdr:rowOff>
    </xdr:from>
    <xdr:to>
      <xdr:col>8</xdr:col>
      <xdr:colOff>19050</xdr:colOff>
      <xdr:row>122</xdr:row>
      <xdr:rowOff>107950</xdr:rowOff>
    </xdr:to>
    <xdr:grpSp>
      <xdr:nvGrpSpPr>
        <xdr:cNvPr id="1612896" name="Group 23">
          <a:extLst>
            <a:ext uri="{FF2B5EF4-FFF2-40B4-BE49-F238E27FC236}">
              <a16:creationId xmlns:a16="http://schemas.microsoft.com/office/drawing/2014/main" id="{00000000-0008-0000-0400-0000609C1800}"/>
            </a:ext>
          </a:extLst>
        </xdr:cNvPr>
        <xdr:cNvGrpSpPr>
          <a:grpSpLocks/>
        </xdr:cNvGrpSpPr>
      </xdr:nvGrpSpPr>
      <xdr:grpSpPr bwMode="auto">
        <a:xfrm>
          <a:off x="4394200" y="21907500"/>
          <a:ext cx="876300" cy="717550"/>
          <a:chOff x="6276976" y="22288499"/>
          <a:chExt cx="600074" cy="695326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 bwMode="auto">
          <a:xfrm>
            <a:off x="6276976" y="22313112"/>
            <a:ext cx="600074" cy="55379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 bwMode="auto">
          <a:xfrm>
            <a:off x="6381337" y="22288499"/>
            <a:ext cx="378308" cy="5538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 bwMode="auto">
          <a:xfrm>
            <a:off x="6381337" y="22866912"/>
            <a:ext cx="378308" cy="11691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</xdr:col>
      <xdr:colOff>565150</xdr:colOff>
      <xdr:row>123</xdr:row>
      <xdr:rowOff>158750</xdr:rowOff>
    </xdr:from>
    <xdr:to>
      <xdr:col>7</xdr:col>
      <xdr:colOff>19050</xdr:colOff>
      <xdr:row>127</xdr:row>
      <xdr:rowOff>139700</xdr:rowOff>
    </xdr:to>
    <xdr:grpSp>
      <xdr:nvGrpSpPr>
        <xdr:cNvPr id="1612897" name="Group 4">
          <a:extLst>
            <a:ext uri="{FF2B5EF4-FFF2-40B4-BE49-F238E27FC236}">
              <a16:creationId xmlns:a16="http://schemas.microsoft.com/office/drawing/2014/main" id="{00000000-0008-0000-0400-0000619C1800}"/>
            </a:ext>
          </a:extLst>
        </xdr:cNvPr>
        <xdr:cNvGrpSpPr>
          <a:grpSpLocks/>
        </xdr:cNvGrpSpPr>
      </xdr:nvGrpSpPr>
      <xdr:grpSpPr bwMode="auto">
        <a:xfrm>
          <a:off x="2393950" y="22860000"/>
          <a:ext cx="1987550" cy="717550"/>
          <a:chOff x="38100" y="742950"/>
          <a:chExt cx="1714500" cy="638175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38100" y="765540"/>
            <a:ext cx="1714500" cy="5591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142175" y="742950"/>
            <a:ext cx="1539216" cy="5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142175" y="1324649"/>
            <a:ext cx="1539216" cy="5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327660</xdr:colOff>
          <xdr:row>0</xdr:row>
          <xdr:rowOff>45720</xdr:rowOff>
        </xdr:from>
        <xdr:to>
          <xdr:col>11</xdr:col>
          <xdr:colOff>441960</xdr:colOff>
          <xdr:row>2</xdr:row>
          <xdr:rowOff>22860</xdr:rowOff>
        </xdr:to>
        <xdr:sp macro="" textlink="">
          <xdr:nvSpPr>
            <xdr:cNvPr id="69677" name="Button 45" hidden="1">
              <a:extLst>
                <a:ext uri="{63B3BB69-23CF-44E3-9099-C40C66FF867C}">
                  <a14:compatExt spid="_x0000_s69677"/>
                </a:ext>
                <a:ext uri="{FF2B5EF4-FFF2-40B4-BE49-F238E27FC236}">
                  <a16:creationId xmlns:a16="http://schemas.microsoft.com/office/drawing/2014/main" id="{00000000-0008-0000-0400-00002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</xdr:row>
      <xdr:rowOff>165100</xdr:rowOff>
    </xdr:from>
    <xdr:to>
      <xdr:col>2</xdr:col>
      <xdr:colOff>533400</xdr:colOff>
      <xdr:row>7</xdr:row>
      <xdr:rowOff>44450</xdr:rowOff>
    </xdr:to>
    <xdr:grpSp>
      <xdr:nvGrpSpPr>
        <xdr:cNvPr id="1615037" name="Group 1">
          <a:extLst>
            <a:ext uri="{FF2B5EF4-FFF2-40B4-BE49-F238E27FC236}">
              <a16:creationId xmlns:a16="http://schemas.microsoft.com/office/drawing/2014/main" id="{00000000-0008-0000-0500-0000BDA41800}"/>
            </a:ext>
          </a:extLst>
        </xdr:cNvPr>
        <xdr:cNvGrpSpPr>
          <a:grpSpLocks/>
        </xdr:cNvGrpSpPr>
      </xdr:nvGrpSpPr>
      <xdr:grpSpPr bwMode="auto">
        <a:xfrm>
          <a:off x="38100" y="717550"/>
          <a:ext cx="1714500" cy="615950"/>
          <a:chOff x="38100" y="742950"/>
          <a:chExt cx="1714500" cy="6381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0</xdr:colOff>
      <xdr:row>4</xdr:row>
      <xdr:rowOff>0</xdr:rowOff>
    </xdr:from>
    <xdr:to>
      <xdr:col>18</xdr:col>
      <xdr:colOff>177800</xdr:colOff>
      <xdr:row>18</xdr:row>
      <xdr:rowOff>63500</xdr:rowOff>
    </xdr:to>
    <xdr:graphicFrame macro="">
      <xdr:nvGraphicFramePr>
        <xdr:cNvPr id="1615038" name="Chart 5">
          <a:extLst>
            <a:ext uri="{FF2B5EF4-FFF2-40B4-BE49-F238E27FC236}">
              <a16:creationId xmlns:a16="http://schemas.microsoft.com/office/drawing/2014/main" id="{00000000-0008-0000-0500-0000BEA41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</xdr:row>
      <xdr:rowOff>165100</xdr:rowOff>
    </xdr:from>
    <xdr:to>
      <xdr:col>2</xdr:col>
      <xdr:colOff>533400</xdr:colOff>
      <xdr:row>20</xdr:row>
      <xdr:rowOff>44450</xdr:rowOff>
    </xdr:to>
    <xdr:grpSp>
      <xdr:nvGrpSpPr>
        <xdr:cNvPr id="1615039" name="Group 6">
          <a:extLst>
            <a:ext uri="{FF2B5EF4-FFF2-40B4-BE49-F238E27FC236}">
              <a16:creationId xmlns:a16="http://schemas.microsoft.com/office/drawing/2014/main" id="{00000000-0008-0000-0500-0000BFA41800}"/>
            </a:ext>
          </a:extLst>
        </xdr:cNvPr>
        <xdr:cNvGrpSpPr>
          <a:grpSpLocks/>
        </xdr:cNvGrpSpPr>
      </xdr:nvGrpSpPr>
      <xdr:grpSpPr bwMode="auto">
        <a:xfrm>
          <a:off x="38100" y="3111500"/>
          <a:ext cx="1714500" cy="615950"/>
          <a:chOff x="38100" y="742950"/>
          <a:chExt cx="1714500" cy="638175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0</xdr:col>
      <xdr:colOff>38100</xdr:colOff>
      <xdr:row>10</xdr:row>
      <xdr:rowOff>165100</xdr:rowOff>
    </xdr:from>
    <xdr:to>
      <xdr:col>2</xdr:col>
      <xdr:colOff>533400</xdr:colOff>
      <xdr:row>14</xdr:row>
      <xdr:rowOff>44450</xdr:rowOff>
    </xdr:to>
    <xdr:grpSp>
      <xdr:nvGrpSpPr>
        <xdr:cNvPr id="1615040" name="Group 10">
          <a:extLst>
            <a:ext uri="{FF2B5EF4-FFF2-40B4-BE49-F238E27FC236}">
              <a16:creationId xmlns:a16="http://schemas.microsoft.com/office/drawing/2014/main" id="{00000000-0008-0000-0500-0000C0A41800}"/>
            </a:ext>
          </a:extLst>
        </xdr:cNvPr>
        <xdr:cNvGrpSpPr>
          <a:grpSpLocks/>
        </xdr:cNvGrpSpPr>
      </xdr:nvGrpSpPr>
      <xdr:grpSpPr bwMode="auto">
        <a:xfrm>
          <a:off x="38100" y="2006600"/>
          <a:ext cx="1714500" cy="615950"/>
          <a:chOff x="38100" y="742950"/>
          <a:chExt cx="1714500" cy="638175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38100</xdr:colOff>
      <xdr:row>108</xdr:row>
      <xdr:rowOff>165100</xdr:rowOff>
    </xdr:from>
    <xdr:to>
      <xdr:col>14</xdr:col>
      <xdr:colOff>533400</xdr:colOff>
      <xdr:row>112</xdr:row>
      <xdr:rowOff>44450</xdr:rowOff>
    </xdr:to>
    <xdr:grpSp>
      <xdr:nvGrpSpPr>
        <xdr:cNvPr id="1615041" name="Group 10">
          <a:extLst>
            <a:ext uri="{FF2B5EF4-FFF2-40B4-BE49-F238E27FC236}">
              <a16:creationId xmlns:a16="http://schemas.microsoft.com/office/drawing/2014/main" id="{00000000-0008-0000-0500-0000C1A41800}"/>
            </a:ext>
          </a:extLst>
        </xdr:cNvPr>
        <xdr:cNvGrpSpPr>
          <a:grpSpLocks/>
        </xdr:cNvGrpSpPr>
      </xdr:nvGrpSpPr>
      <xdr:grpSpPr bwMode="auto">
        <a:xfrm>
          <a:off x="7696200" y="20053300"/>
          <a:ext cx="1714500" cy="615950"/>
          <a:chOff x="38100" y="742950"/>
          <a:chExt cx="1714500" cy="638175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38100</xdr:colOff>
      <xdr:row>113</xdr:row>
      <xdr:rowOff>165100</xdr:rowOff>
    </xdr:from>
    <xdr:to>
      <xdr:col>14</xdr:col>
      <xdr:colOff>533400</xdr:colOff>
      <xdr:row>117</xdr:row>
      <xdr:rowOff>44450</xdr:rowOff>
    </xdr:to>
    <xdr:grpSp>
      <xdr:nvGrpSpPr>
        <xdr:cNvPr id="1615042" name="Group 6">
          <a:extLst>
            <a:ext uri="{FF2B5EF4-FFF2-40B4-BE49-F238E27FC236}">
              <a16:creationId xmlns:a16="http://schemas.microsoft.com/office/drawing/2014/main" id="{00000000-0008-0000-0500-0000C2A41800}"/>
            </a:ext>
          </a:extLst>
        </xdr:cNvPr>
        <xdr:cNvGrpSpPr>
          <a:grpSpLocks/>
        </xdr:cNvGrpSpPr>
      </xdr:nvGrpSpPr>
      <xdr:grpSpPr bwMode="auto">
        <a:xfrm>
          <a:off x="7696200" y="20974050"/>
          <a:ext cx="1714500" cy="615950"/>
          <a:chOff x="38100" y="742950"/>
          <a:chExt cx="1714500" cy="638175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38100</xdr:colOff>
      <xdr:row>118</xdr:row>
      <xdr:rowOff>165100</xdr:rowOff>
    </xdr:from>
    <xdr:to>
      <xdr:col>14</xdr:col>
      <xdr:colOff>533400</xdr:colOff>
      <xdr:row>122</xdr:row>
      <xdr:rowOff>44450</xdr:rowOff>
    </xdr:to>
    <xdr:grpSp>
      <xdr:nvGrpSpPr>
        <xdr:cNvPr id="1615043" name="Group 1">
          <a:extLst>
            <a:ext uri="{FF2B5EF4-FFF2-40B4-BE49-F238E27FC236}">
              <a16:creationId xmlns:a16="http://schemas.microsoft.com/office/drawing/2014/main" id="{00000000-0008-0000-0500-0000C3A41800}"/>
            </a:ext>
          </a:extLst>
        </xdr:cNvPr>
        <xdr:cNvGrpSpPr>
          <a:grpSpLocks/>
        </xdr:cNvGrpSpPr>
      </xdr:nvGrpSpPr>
      <xdr:grpSpPr bwMode="auto">
        <a:xfrm>
          <a:off x="7696200" y="21894800"/>
          <a:ext cx="1714500" cy="666750"/>
          <a:chOff x="38100" y="742950"/>
          <a:chExt cx="1714500" cy="63817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38100" y="767261"/>
            <a:ext cx="1714500" cy="559163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146050" y="742950"/>
            <a:ext cx="1543050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146050" y="1326424"/>
            <a:ext cx="1543050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38100</xdr:colOff>
      <xdr:row>107</xdr:row>
      <xdr:rowOff>165100</xdr:rowOff>
    </xdr:from>
    <xdr:to>
      <xdr:col>6</xdr:col>
      <xdr:colOff>558800</xdr:colOff>
      <xdr:row>111</xdr:row>
      <xdr:rowOff>44450</xdr:rowOff>
    </xdr:to>
    <xdr:grpSp>
      <xdr:nvGrpSpPr>
        <xdr:cNvPr id="1615044" name="Group 4">
          <a:extLst>
            <a:ext uri="{FF2B5EF4-FFF2-40B4-BE49-F238E27FC236}">
              <a16:creationId xmlns:a16="http://schemas.microsoft.com/office/drawing/2014/main" id="{00000000-0008-0000-0500-0000C4A41800}"/>
            </a:ext>
          </a:extLst>
        </xdr:cNvPr>
        <xdr:cNvGrpSpPr>
          <a:grpSpLocks/>
        </xdr:cNvGrpSpPr>
      </xdr:nvGrpSpPr>
      <xdr:grpSpPr bwMode="auto">
        <a:xfrm>
          <a:off x="2476500" y="19869150"/>
          <a:ext cx="1803400" cy="615950"/>
          <a:chOff x="38100" y="742950"/>
          <a:chExt cx="1714500" cy="638175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/>
        </xdr:nvSpPr>
        <xdr:spPr>
          <a:xfrm>
            <a:off x="140729" y="742950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140729" y="1321913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31750</xdr:colOff>
      <xdr:row>112</xdr:row>
      <xdr:rowOff>177800</xdr:rowOff>
    </xdr:from>
    <xdr:to>
      <xdr:col>6</xdr:col>
      <xdr:colOff>552450</xdr:colOff>
      <xdr:row>116</xdr:row>
      <xdr:rowOff>57150</xdr:rowOff>
    </xdr:to>
    <xdr:grpSp>
      <xdr:nvGrpSpPr>
        <xdr:cNvPr id="1615045" name="Group 4">
          <a:extLst>
            <a:ext uri="{FF2B5EF4-FFF2-40B4-BE49-F238E27FC236}">
              <a16:creationId xmlns:a16="http://schemas.microsoft.com/office/drawing/2014/main" id="{00000000-0008-0000-0500-0000C5A41800}"/>
            </a:ext>
          </a:extLst>
        </xdr:cNvPr>
        <xdr:cNvGrpSpPr>
          <a:grpSpLocks/>
        </xdr:cNvGrpSpPr>
      </xdr:nvGrpSpPr>
      <xdr:grpSpPr bwMode="auto">
        <a:xfrm>
          <a:off x="2470150" y="20802600"/>
          <a:ext cx="1803400" cy="615950"/>
          <a:chOff x="38100" y="742950"/>
          <a:chExt cx="1714500" cy="638175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140729" y="742950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/>
        </xdr:nvSpPr>
        <xdr:spPr>
          <a:xfrm>
            <a:off x="140729" y="1321913"/>
            <a:ext cx="1545465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50800</xdr:colOff>
      <xdr:row>118</xdr:row>
      <xdr:rowOff>158750</xdr:rowOff>
    </xdr:from>
    <xdr:to>
      <xdr:col>6</xdr:col>
      <xdr:colOff>571500</xdr:colOff>
      <xdr:row>122</xdr:row>
      <xdr:rowOff>38100</xdr:rowOff>
    </xdr:to>
    <xdr:grpSp>
      <xdr:nvGrpSpPr>
        <xdr:cNvPr id="1615046" name="Group 4">
          <a:extLst>
            <a:ext uri="{FF2B5EF4-FFF2-40B4-BE49-F238E27FC236}">
              <a16:creationId xmlns:a16="http://schemas.microsoft.com/office/drawing/2014/main" id="{00000000-0008-0000-0500-0000C6A41800}"/>
            </a:ext>
          </a:extLst>
        </xdr:cNvPr>
        <xdr:cNvGrpSpPr>
          <a:grpSpLocks/>
        </xdr:cNvGrpSpPr>
      </xdr:nvGrpSpPr>
      <xdr:grpSpPr bwMode="auto">
        <a:xfrm>
          <a:off x="2489200" y="21888450"/>
          <a:ext cx="1803400" cy="666750"/>
          <a:chOff x="38100" y="742950"/>
          <a:chExt cx="1714500" cy="63817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/>
        </xdr:nvSpPr>
        <xdr:spPr>
          <a:xfrm>
            <a:off x="38100" y="767261"/>
            <a:ext cx="1714500" cy="559163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/>
        </xdr:nvSpPr>
        <xdr:spPr>
          <a:xfrm>
            <a:off x="140729" y="742950"/>
            <a:ext cx="1545465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/>
        </xdr:nvSpPr>
        <xdr:spPr>
          <a:xfrm>
            <a:off x="140729" y="1326424"/>
            <a:ext cx="1545465" cy="547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9</xdr:col>
      <xdr:colOff>107950</xdr:colOff>
      <xdr:row>118</xdr:row>
      <xdr:rowOff>165100</xdr:rowOff>
    </xdr:from>
    <xdr:to>
      <xdr:col>9</xdr:col>
      <xdr:colOff>736600</xdr:colOff>
      <xdr:row>122</xdr:row>
      <xdr:rowOff>101600</xdr:rowOff>
    </xdr:to>
    <xdr:grpSp>
      <xdr:nvGrpSpPr>
        <xdr:cNvPr id="1615047" name="Group 42">
          <a:extLst>
            <a:ext uri="{FF2B5EF4-FFF2-40B4-BE49-F238E27FC236}">
              <a16:creationId xmlns:a16="http://schemas.microsoft.com/office/drawing/2014/main" id="{00000000-0008-0000-0500-0000C7A41800}"/>
            </a:ext>
          </a:extLst>
        </xdr:cNvPr>
        <xdr:cNvGrpSpPr>
          <a:grpSpLocks/>
        </xdr:cNvGrpSpPr>
      </xdr:nvGrpSpPr>
      <xdr:grpSpPr bwMode="auto">
        <a:xfrm>
          <a:off x="5721350" y="21894800"/>
          <a:ext cx="628650" cy="723900"/>
          <a:chOff x="6276976" y="22288499"/>
          <a:chExt cx="600074" cy="695326"/>
        </a:xfrm>
      </xdr:grpSpPr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 bwMode="auto">
          <a:xfrm>
            <a:off x="6276976" y="22312896"/>
            <a:ext cx="600074" cy="55504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 bwMode="auto">
          <a:xfrm>
            <a:off x="6380019" y="22288499"/>
            <a:ext cx="381865" cy="5489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/>
        </xdr:nvSpPr>
        <xdr:spPr bwMode="auto">
          <a:xfrm>
            <a:off x="6380019" y="22867937"/>
            <a:ext cx="381865" cy="115888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7</xdr:col>
      <xdr:colOff>31750</xdr:colOff>
      <xdr:row>118</xdr:row>
      <xdr:rowOff>177800</xdr:rowOff>
    </xdr:from>
    <xdr:to>
      <xdr:col>8</xdr:col>
      <xdr:colOff>19050</xdr:colOff>
      <xdr:row>122</xdr:row>
      <xdr:rowOff>107950</xdr:rowOff>
    </xdr:to>
    <xdr:grpSp>
      <xdr:nvGrpSpPr>
        <xdr:cNvPr id="1615048" name="Group 46">
          <a:extLst>
            <a:ext uri="{FF2B5EF4-FFF2-40B4-BE49-F238E27FC236}">
              <a16:creationId xmlns:a16="http://schemas.microsoft.com/office/drawing/2014/main" id="{00000000-0008-0000-0500-0000C8A41800}"/>
            </a:ext>
          </a:extLst>
        </xdr:cNvPr>
        <xdr:cNvGrpSpPr>
          <a:grpSpLocks/>
        </xdr:cNvGrpSpPr>
      </xdr:nvGrpSpPr>
      <xdr:grpSpPr bwMode="auto">
        <a:xfrm>
          <a:off x="4394200" y="21907500"/>
          <a:ext cx="628650" cy="717550"/>
          <a:chOff x="6276976" y="22288499"/>
          <a:chExt cx="600074" cy="695326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/>
        </xdr:nvSpPr>
        <xdr:spPr bwMode="auto">
          <a:xfrm>
            <a:off x="6276976" y="22313112"/>
            <a:ext cx="600074" cy="55379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/>
        </xdr:nvSpPr>
        <xdr:spPr bwMode="auto">
          <a:xfrm>
            <a:off x="6380019" y="22288499"/>
            <a:ext cx="381865" cy="5538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/>
        </xdr:nvSpPr>
        <xdr:spPr bwMode="auto">
          <a:xfrm>
            <a:off x="6380019" y="22866912"/>
            <a:ext cx="381865" cy="11691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</xdr:col>
      <xdr:colOff>565150</xdr:colOff>
      <xdr:row>123</xdr:row>
      <xdr:rowOff>158750</xdr:rowOff>
    </xdr:from>
    <xdr:to>
      <xdr:col>7</xdr:col>
      <xdr:colOff>19050</xdr:colOff>
      <xdr:row>127</xdr:row>
      <xdr:rowOff>139700</xdr:rowOff>
    </xdr:to>
    <xdr:grpSp>
      <xdr:nvGrpSpPr>
        <xdr:cNvPr id="1615049" name="Group 4">
          <a:extLst>
            <a:ext uri="{FF2B5EF4-FFF2-40B4-BE49-F238E27FC236}">
              <a16:creationId xmlns:a16="http://schemas.microsoft.com/office/drawing/2014/main" id="{00000000-0008-0000-0500-0000C9A41800}"/>
            </a:ext>
          </a:extLst>
        </xdr:cNvPr>
        <xdr:cNvGrpSpPr>
          <a:grpSpLocks/>
        </xdr:cNvGrpSpPr>
      </xdr:nvGrpSpPr>
      <xdr:grpSpPr bwMode="auto">
        <a:xfrm>
          <a:off x="2393950" y="22860000"/>
          <a:ext cx="1987550" cy="717550"/>
          <a:chOff x="38100" y="742950"/>
          <a:chExt cx="1714500" cy="63817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SpPr/>
        </xdr:nvSpPr>
        <xdr:spPr>
          <a:xfrm>
            <a:off x="38100" y="765540"/>
            <a:ext cx="1714500" cy="559109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3" name="Rectangle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/>
        </xdr:nvSpPr>
        <xdr:spPr>
          <a:xfrm>
            <a:off x="142175" y="742950"/>
            <a:ext cx="1539216" cy="5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142175" y="1324649"/>
            <a:ext cx="1539216" cy="5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108</xdr:row>
      <xdr:rowOff>0</xdr:rowOff>
    </xdr:from>
    <xdr:to>
      <xdr:col>6</xdr:col>
      <xdr:colOff>0</xdr:colOff>
      <xdr:row>122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108</xdr:row>
      <xdr:rowOff>0</xdr:rowOff>
    </xdr:from>
    <xdr:to>
      <xdr:col>12</xdr:col>
      <xdr:colOff>127000</xdr:colOff>
      <xdr:row>122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122</xdr:row>
      <xdr:rowOff>139700</xdr:rowOff>
    </xdr:from>
    <xdr:to>
      <xdr:col>12</xdr:col>
      <xdr:colOff>101600</xdr:colOff>
      <xdr:row>137</xdr:row>
      <xdr:rowOff>57150</xdr:rowOff>
    </xdr:to>
    <xdr:pic>
      <xdr:nvPicPr>
        <xdr:cNvPr id="4" name="Picture 36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4500" y="22606000"/>
          <a:ext cx="4603750" cy="267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0</xdr:colOff>
      <xdr:row>108</xdr:row>
      <xdr:rowOff>0</xdr:rowOff>
    </xdr:from>
    <xdr:to>
      <xdr:col>19</xdr:col>
      <xdr:colOff>501650</xdr:colOff>
      <xdr:row>122</xdr:row>
      <xdr:rowOff>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</xdr:colOff>
          <xdr:row>0</xdr:row>
          <xdr:rowOff>45720</xdr:rowOff>
        </xdr:from>
        <xdr:to>
          <xdr:col>4</xdr:col>
          <xdr:colOff>769620</xdr:colOff>
          <xdr:row>1</xdr:row>
          <xdr:rowOff>213360</xdr:rowOff>
        </xdr:to>
        <xdr:sp macro="" textlink="">
          <xdr:nvSpPr>
            <xdr:cNvPr id="970753" name="Button 1" hidden="1">
              <a:extLst>
                <a:ext uri="{63B3BB69-23CF-44E3-9099-C40C66FF867C}">
                  <a14:compatExt spid="_x0000_s970753"/>
                </a:ext>
                <a:ext uri="{FF2B5EF4-FFF2-40B4-BE49-F238E27FC236}">
                  <a16:creationId xmlns:a16="http://schemas.microsoft.com/office/drawing/2014/main" id="{00000000-0008-0000-0600-000001D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MC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</xdr:colOff>
          <xdr:row>1</xdr:row>
          <xdr:rowOff>228600</xdr:rowOff>
        </xdr:from>
        <xdr:to>
          <xdr:col>14</xdr:col>
          <xdr:colOff>769620</xdr:colOff>
          <xdr:row>3</xdr:row>
          <xdr:rowOff>99060</xdr:rowOff>
        </xdr:to>
        <xdr:sp macro="" textlink="">
          <xdr:nvSpPr>
            <xdr:cNvPr id="970761" name="Button 9" hidden="1">
              <a:extLst>
                <a:ext uri="{63B3BB69-23CF-44E3-9099-C40C66FF867C}">
                  <a14:compatExt spid="_x0000_s970761"/>
                </a:ext>
                <a:ext uri="{FF2B5EF4-FFF2-40B4-BE49-F238E27FC236}">
                  <a16:creationId xmlns:a16="http://schemas.microsoft.com/office/drawing/2014/main" id="{00000000-0008-0000-0600-000009D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MC Sim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0</xdr:rowOff>
    </xdr:from>
    <xdr:to>
      <xdr:col>18</xdr:col>
      <xdr:colOff>304800</xdr:colOff>
      <xdr:row>18</xdr:row>
      <xdr:rowOff>76200</xdr:rowOff>
    </xdr:to>
    <xdr:graphicFrame macro="">
      <xdr:nvGraphicFramePr>
        <xdr:cNvPr id="965559" name="Chart 5">
          <a:extLst>
            <a:ext uri="{FF2B5EF4-FFF2-40B4-BE49-F238E27FC236}">
              <a16:creationId xmlns:a16="http://schemas.microsoft.com/office/drawing/2014/main" id="{00000000-0008-0000-0700-0000B7BB0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10</xdr:row>
      <xdr:rowOff>165100</xdr:rowOff>
    </xdr:from>
    <xdr:to>
      <xdr:col>2</xdr:col>
      <xdr:colOff>533400</xdr:colOff>
      <xdr:row>14</xdr:row>
      <xdr:rowOff>44450</xdr:rowOff>
    </xdr:to>
    <xdr:grpSp>
      <xdr:nvGrpSpPr>
        <xdr:cNvPr id="965560" name="Group 6">
          <a:extLst>
            <a:ext uri="{FF2B5EF4-FFF2-40B4-BE49-F238E27FC236}">
              <a16:creationId xmlns:a16="http://schemas.microsoft.com/office/drawing/2014/main" id="{00000000-0008-0000-0700-0000B8BB0E00}"/>
            </a:ext>
          </a:extLst>
        </xdr:cNvPr>
        <xdr:cNvGrpSpPr>
          <a:grpSpLocks/>
        </xdr:cNvGrpSpPr>
      </xdr:nvGrpSpPr>
      <xdr:grpSpPr bwMode="auto">
        <a:xfrm>
          <a:off x="38100" y="1993900"/>
          <a:ext cx="1714500" cy="610870"/>
          <a:chOff x="38100" y="742950"/>
          <a:chExt cx="1714500" cy="638175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0</xdr:col>
      <xdr:colOff>50800</xdr:colOff>
      <xdr:row>4</xdr:row>
      <xdr:rowOff>158750</xdr:rowOff>
    </xdr:from>
    <xdr:to>
      <xdr:col>2</xdr:col>
      <xdr:colOff>546100</xdr:colOff>
      <xdr:row>8</xdr:row>
      <xdr:rowOff>38100</xdr:rowOff>
    </xdr:to>
    <xdr:grpSp>
      <xdr:nvGrpSpPr>
        <xdr:cNvPr id="965561" name="Group 10">
          <a:extLst>
            <a:ext uri="{FF2B5EF4-FFF2-40B4-BE49-F238E27FC236}">
              <a16:creationId xmlns:a16="http://schemas.microsoft.com/office/drawing/2014/main" id="{00000000-0008-0000-0700-0000B9BB0E00}"/>
            </a:ext>
          </a:extLst>
        </xdr:cNvPr>
        <xdr:cNvGrpSpPr>
          <a:grpSpLocks/>
        </xdr:cNvGrpSpPr>
      </xdr:nvGrpSpPr>
      <xdr:grpSpPr bwMode="auto">
        <a:xfrm>
          <a:off x="50800" y="890270"/>
          <a:ext cx="1714500" cy="610870"/>
          <a:chOff x="38100" y="742950"/>
          <a:chExt cx="1714500" cy="638175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8100" y="769266"/>
            <a:ext cx="1714500" cy="552646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146050" y="742950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46050" y="1321913"/>
            <a:ext cx="1543050" cy="59212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0</xdr:row>
          <xdr:rowOff>76200</xdr:rowOff>
        </xdr:from>
        <xdr:to>
          <xdr:col>13</xdr:col>
          <xdr:colOff>60960</xdr:colOff>
          <xdr:row>2</xdr:row>
          <xdr:rowOff>106680</xdr:rowOff>
        </xdr:to>
        <xdr:sp macro="" textlink="">
          <xdr:nvSpPr>
            <xdr:cNvPr id="965116" name="Button 1532" hidden="1">
              <a:extLst>
                <a:ext uri="{63B3BB69-23CF-44E3-9099-C40C66FF867C}">
                  <a14:compatExt spid="_x0000_s965116"/>
                </a:ext>
                <a:ext uri="{FF2B5EF4-FFF2-40B4-BE49-F238E27FC236}">
                  <a16:creationId xmlns:a16="http://schemas.microsoft.com/office/drawing/2014/main" id="{00000000-0008-0000-0700-0000FCB9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Sequential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563880</xdr:colOff>
          <xdr:row>19</xdr:row>
          <xdr:rowOff>76200</xdr:rowOff>
        </xdr:from>
        <xdr:to>
          <xdr:col>16</xdr:col>
          <xdr:colOff>60960</xdr:colOff>
          <xdr:row>21</xdr:row>
          <xdr:rowOff>106680</xdr:rowOff>
        </xdr:to>
        <xdr:sp macro="" textlink="">
          <xdr:nvSpPr>
            <xdr:cNvPr id="965387" name="Button 1803" hidden="1">
              <a:extLst>
                <a:ext uri="{63B3BB69-23CF-44E3-9099-C40C66FF867C}">
                  <a14:compatExt spid="_x0000_s965387"/>
                </a:ext>
                <a:ext uri="{FF2B5EF4-FFF2-40B4-BE49-F238E27FC236}">
                  <a16:creationId xmlns:a16="http://schemas.microsoft.com/office/drawing/2014/main" id="{00000000-0008-0000-0700-00000BBB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N103"/>
  <sheetViews>
    <sheetView showGridLines="0" workbookViewId="0">
      <selection activeCell="B8" sqref="B8"/>
    </sheetView>
  </sheetViews>
  <sheetFormatPr defaultColWidth="9.33203125" defaultRowHeight="15.6" x14ac:dyDescent="0.3"/>
  <cols>
    <col min="1" max="1" width="9.33203125" style="9" customWidth="1"/>
    <col min="2" max="2" width="12.33203125" style="45" customWidth="1"/>
    <col min="3" max="3" width="12.33203125" style="4" customWidth="1"/>
    <col min="4" max="4" width="8.6640625" style="4" customWidth="1"/>
    <col min="5" max="5" width="8.6640625" style="14" customWidth="1"/>
    <col min="6" max="6" width="13.33203125" style="26" customWidth="1"/>
    <col min="7" max="7" width="9.33203125" style="14"/>
    <col min="8" max="8" width="6.6640625" style="14" customWidth="1"/>
    <col min="9" max="14" width="10.5546875" style="14" customWidth="1"/>
    <col min="15" max="17" width="9.33203125" style="14"/>
    <col min="18" max="19" width="9.33203125" style="4"/>
    <col min="20" max="20" width="16.33203125" style="4" customWidth="1"/>
    <col min="21" max="22" width="12.6640625" style="4" customWidth="1"/>
    <col min="23" max="24" width="9.33203125" style="4"/>
    <col min="25" max="26" width="9.33203125" style="8"/>
    <col min="27" max="33" width="9.33203125" style="4"/>
    <col min="34" max="43" width="9.33203125" style="14"/>
    <col min="44" max="50" width="9.33203125" style="4"/>
    <col min="51" max="16384" width="9.33203125" style="14"/>
  </cols>
  <sheetData>
    <row r="1" spans="1:66" ht="31.2" thickBot="1" x14ac:dyDescent="0.6">
      <c r="A1" s="48" t="s">
        <v>27</v>
      </c>
      <c r="I1" s="4"/>
      <c r="J1" s="4"/>
      <c r="K1" s="4"/>
      <c r="L1" s="4"/>
      <c r="M1" s="4"/>
      <c r="N1" s="4"/>
      <c r="O1" s="4"/>
      <c r="Q1" s="4"/>
      <c r="AH1" s="4"/>
      <c r="AI1" s="4"/>
      <c r="AJ1" s="4"/>
      <c r="AK1" s="4">
        <v>0</v>
      </c>
      <c r="AL1" s="4">
        <v>0</v>
      </c>
      <c r="AM1" s="4"/>
      <c r="AN1" s="4"/>
      <c r="AO1" s="4"/>
      <c r="AP1" s="4"/>
      <c r="AQ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</row>
    <row r="2" spans="1:66" s="6" customFormat="1" ht="42" customHeight="1" thickBot="1" x14ac:dyDescent="0.35">
      <c r="A2" s="2" t="s">
        <v>15</v>
      </c>
      <c r="B2" s="3"/>
      <c r="C2" s="4"/>
      <c r="D2" s="4"/>
      <c r="E2" s="5"/>
      <c r="F2" s="93" t="s">
        <v>16</v>
      </c>
      <c r="G2" s="94"/>
      <c r="I2" s="7"/>
      <c r="J2" s="7"/>
      <c r="K2" s="7"/>
      <c r="L2" s="7"/>
      <c r="M2" s="7"/>
      <c r="N2" s="7"/>
      <c r="O2" s="7"/>
      <c r="Q2" s="7"/>
      <c r="R2" s="4"/>
      <c r="S2" s="4"/>
      <c r="T2" s="4"/>
      <c r="U2" s="4"/>
      <c r="V2" s="4"/>
      <c r="W2" s="7"/>
      <c r="X2" s="7"/>
      <c r="Y2" s="8"/>
      <c r="Z2" s="8"/>
      <c r="AA2" s="7"/>
      <c r="AB2" s="7"/>
      <c r="AC2" s="7"/>
      <c r="AD2" s="7"/>
      <c r="AE2" s="7"/>
      <c r="AF2" s="7"/>
      <c r="AG2" s="7"/>
      <c r="AH2" s="7">
        <v>0</v>
      </c>
      <c r="AI2" s="7"/>
      <c r="AJ2" s="7"/>
      <c r="AK2" s="7">
        <v>0</v>
      </c>
      <c r="AL2" s="7">
        <v>0</v>
      </c>
      <c r="AM2" s="7"/>
      <c r="AN2" s="7"/>
      <c r="AO2" s="7"/>
      <c r="AP2" s="7"/>
      <c r="AQ2" s="7"/>
      <c r="AR2" s="4"/>
      <c r="AS2" s="4"/>
      <c r="AT2" s="4"/>
      <c r="AU2" s="4"/>
      <c r="AV2" s="4"/>
      <c r="AW2" s="4"/>
      <c r="AX2" s="4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6.2" thickBot="1" x14ac:dyDescent="0.35">
      <c r="A3" s="9">
        <v>1</v>
      </c>
      <c r="B3" s="10"/>
      <c r="E3" s="11"/>
      <c r="F3" s="12"/>
      <c r="G3" s="13" t="s">
        <v>17</v>
      </c>
      <c r="AH3" s="4">
        <v>0.12903225421905518</v>
      </c>
      <c r="AI3" s="4">
        <v>0</v>
      </c>
      <c r="AJ3" s="4"/>
      <c r="AK3" s="4">
        <v>0.12903225421905518</v>
      </c>
      <c r="AL3" s="4">
        <v>0</v>
      </c>
      <c r="AM3" s="4"/>
      <c r="AN3" s="4"/>
      <c r="AO3" s="4"/>
      <c r="AP3" s="4"/>
      <c r="AQ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</row>
    <row r="4" spans="1:66" ht="16.2" thickBot="1" x14ac:dyDescent="0.35">
      <c r="A4" s="9">
        <v>2</v>
      </c>
      <c r="B4" s="10"/>
      <c r="E4" s="11"/>
      <c r="F4" s="15"/>
      <c r="G4" s="16" t="s">
        <v>18</v>
      </c>
      <c r="I4" s="95" t="s">
        <v>19</v>
      </c>
      <c r="J4" s="96"/>
      <c r="K4" s="97"/>
      <c r="L4" s="98" t="s">
        <v>20</v>
      </c>
      <c r="M4" s="98"/>
      <c r="N4" s="99"/>
      <c r="P4" s="17"/>
      <c r="AH4" s="4">
        <v>0.25806450843811035</v>
      </c>
      <c r="AI4" s="4">
        <v>3</v>
      </c>
      <c r="AJ4" s="4"/>
      <c r="AK4" s="4">
        <v>0.12903225421905518</v>
      </c>
      <c r="AL4" s="4">
        <v>3</v>
      </c>
      <c r="AM4" s="4"/>
      <c r="AN4" s="4"/>
      <c r="AO4" s="4"/>
      <c r="AP4" s="4"/>
      <c r="AQ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</row>
    <row r="5" spans="1:66" x14ac:dyDescent="0.3">
      <c r="A5" s="9">
        <v>3</v>
      </c>
      <c r="B5" s="10"/>
      <c r="E5" s="18"/>
      <c r="F5" s="19"/>
      <c r="G5" s="18"/>
      <c r="I5" s="20" t="s">
        <v>21</v>
      </c>
      <c r="J5" s="21">
        <v>1.1671042295446972</v>
      </c>
      <c r="K5" s="22"/>
      <c r="L5" s="23"/>
      <c r="M5" s="24"/>
      <c r="N5" s="25"/>
      <c r="P5" s="17"/>
      <c r="AH5" s="4">
        <v>0.38709676265716553</v>
      </c>
      <c r="AI5" s="4">
        <v>4</v>
      </c>
      <c r="AJ5" s="4"/>
      <c r="AK5" s="4">
        <v>0.25806450843811035</v>
      </c>
      <c r="AL5" s="4">
        <v>3</v>
      </c>
      <c r="AM5" s="4"/>
      <c r="AN5" s="4"/>
      <c r="AO5" s="4"/>
      <c r="AP5" s="4"/>
      <c r="AQ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</row>
    <row r="6" spans="1:66" x14ac:dyDescent="0.3">
      <c r="A6" s="9">
        <v>4</v>
      </c>
      <c r="B6" s="10"/>
      <c r="I6" s="27" t="s">
        <v>22</v>
      </c>
      <c r="J6" s="28">
        <v>0.57603988214435031</v>
      </c>
      <c r="K6" s="29"/>
      <c r="L6" s="30"/>
      <c r="M6" s="31"/>
      <c r="N6" s="29"/>
      <c r="AH6" s="4">
        <v>0.5161290168762207</v>
      </c>
      <c r="AI6" s="4">
        <v>8</v>
      </c>
      <c r="AJ6" s="4"/>
      <c r="AK6" s="4">
        <v>0.25806450843811035</v>
      </c>
      <c r="AL6" s="4">
        <v>4</v>
      </c>
      <c r="AM6" s="4"/>
      <c r="AN6" s="4"/>
      <c r="AO6" s="4"/>
      <c r="AP6" s="4"/>
      <c r="AQ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</row>
    <row r="7" spans="1:66" x14ac:dyDescent="0.3">
      <c r="A7" s="9">
        <v>5</v>
      </c>
      <c r="B7" s="10"/>
      <c r="F7" s="32"/>
      <c r="I7" s="33" t="s">
        <v>23</v>
      </c>
      <c r="J7" s="34">
        <v>2.5793023004401907</v>
      </c>
      <c r="K7" s="22"/>
      <c r="L7" s="35"/>
      <c r="M7" s="11"/>
      <c r="N7" s="29"/>
      <c r="AH7" s="4">
        <v>0.64516127109527588</v>
      </c>
      <c r="AI7" s="4">
        <v>4</v>
      </c>
      <c r="AJ7" s="4"/>
      <c r="AK7" s="4">
        <v>0.38709676265716553</v>
      </c>
      <c r="AL7" s="4">
        <v>4</v>
      </c>
      <c r="AM7" s="4"/>
      <c r="AN7" s="4"/>
      <c r="AO7" s="4"/>
      <c r="AP7" s="4"/>
      <c r="AQ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</row>
    <row r="8" spans="1:66" ht="16.2" thickBot="1" x14ac:dyDescent="0.35">
      <c r="A8" s="9">
        <v>6</v>
      </c>
      <c r="B8" s="10"/>
      <c r="F8" s="32"/>
      <c r="I8" s="36" t="s">
        <v>24</v>
      </c>
      <c r="J8" s="37">
        <v>0.21342784181531316</v>
      </c>
      <c r="K8" s="38"/>
      <c r="L8" s="39"/>
      <c r="M8" s="40"/>
      <c r="N8" s="41"/>
      <c r="AH8" s="4">
        <v>0.77419352531433105</v>
      </c>
      <c r="AI8" s="4">
        <v>9</v>
      </c>
      <c r="AJ8" s="4"/>
      <c r="AK8" s="4">
        <v>0.38709676265716553</v>
      </c>
      <c r="AL8" s="4">
        <v>8</v>
      </c>
      <c r="AM8" s="4"/>
      <c r="AN8" s="4"/>
      <c r="AO8" s="4"/>
      <c r="AP8" s="4"/>
      <c r="AQ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</row>
    <row r="9" spans="1:66" x14ac:dyDescent="0.3">
      <c r="A9" s="9">
        <v>7</v>
      </c>
      <c r="B9" s="10"/>
      <c r="F9" s="32"/>
      <c r="I9" s="18"/>
      <c r="J9" s="42"/>
      <c r="K9" s="18"/>
      <c r="L9" s="18"/>
      <c r="M9" s="18"/>
      <c r="N9" s="18"/>
      <c r="AH9" s="4">
        <v>0.90322577953338623</v>
      </c>
      <c r="AI9" s="4">
        <v>9</v>
      </c>
      <c r="AJ9" s="4"/>
      <c r="AK9" s="4">
        <v>0.5161290168762207</v>
      </c>
      <c r="AL9" s="4">
        <v>8</v>
      </c>
      <c r="AM9" s="4"/>
      <c r="AN9" s="4"/>
      <c r="AO9" s="4"/>
      <c r="AP9" s="4"/>
      <c r="AQ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</row>
    <row r="10" spans="1:66" x14ac:dyDescent="0.3">
      <c r="A10" s="9">
        <v>8</v>
      </c>
      <c r="B10" s="10"/>
      <c r="F10" s="32"/>
      <c r="I10" s="11"/>
      <c r="J10" s="42"/>
      <c r="K10" s="18"/>
      <c r="L10" s="18"/>
      <c r="M10" s="18"/>
      <c r="N10" s="18"/>
      <c r="P10" s="17"/>
      <c r="AH10" s="4">
        <v>1.0322580337524414</v>
      </c>
      <c r="AI10" s="4">
        <v>12</v>
      </c>
      <c r="AJ10" s="4"/>
      <c r="AK10" s="4">
        <v>0.5161290168762207</v>
      </c>
      <c r="AL10" s="4">
        <v>4</v>
      </c>
      <c r="AM10" s="4"/>
      <c r="AN10" s="4"/>
      <c r="AO10" s="4"/>
      <c r="AP10" s="4"/>
      <c r="AQ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</row>
    <row r="11" spans="1:66" x14ac:dyDescent="0.3">
      <c r="A11" s="9">
        <v>9</v>
      </c>
      <c r="B11" s="10"/>
      <c r="I11" s="18"/>
      <c r="J11" s="42"/>
      <c r="K11" s="18"/>
      <c r="L11" s="18"/>
      <c r="M11" s="18"/>
      <c r="N11" s="18"/>
      <c r="P11" s="17"/>
      <c r="AH11" s="4">
        <v>1.1612902879714966</v>
      </c>
      <c r="AI11" s="4">
        <v>8</v>
      </c>
      <c r="AJ11" s="4"/>
      <c r="AK11" s="4">
        <v>0.64516127109527588</v>
      </c>
      <c r="AL11" s="4">
        <v>4</v>
      </c>
      <c r="AM11" s="4"/>
      <c r="AN11" s="4"/>
      <c r="AO11" s="4"/>
      <c r="AP11" s="4"/>
      <c r="AQ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</row>
    <row r="12" spans="1:66" x14ac:dyDescent="0.3">
      <c r="A12" s="9">
        <v>10</v>
      </c>
      <c r="B12" s="10"/>
      <c r="I12" s="18"/>
      <c r="J12" s="18"/>
      <c r="K12" s="18"/>
      <c r="L12" s="18"/>
      <c r="M12" s="18"/>
      <c r="N12" s="18"/>
      <c r="P12" s="17"/>
      <c r="AH12" s="4">
        <v>1.2903225421905518</v>
      </c>
      <c r="AI12" s="4">
        <v>3</v>
      </c>
      <c r="AJ12" s="4"/>
      <c r="AK12" s="4">
        <v>0.64516127109527588</v>
      </c>
      <c r="AL12" s="4">
        <v>9</v>
      </c>
      <c r="AM12" s="4"/>
      <c r="AN12" s="4"/>
      <c r="AO12" s="4"/>
      <c r="AP12" s="4"/>
      <c r="AQ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</row>
    <row r="13" spans="1:66" x14ac:dyDescent="0.3">
      <c r="A13" s="9">
        <v>11</v>
      </c>
      <c r="B13" s="10"/>
      <c r="I13" s="18"/>
      <c r="J13" s="18"/>
      <c r="K13" s="18"/>
      <c r="L13" s="18"/>
      <c r="M13" s="18"/>
      <c r="N13" s="18"/>
      <c r="AH13" s="4">
        <v>1.4193547964096069</v>
      </c>
      <c r="AI13" s="4">
        <v>6</v>
      </c>
      <c r="AJ13" s="4"/>
      <c r="AK13" s="4">
        <v>0.77419352531433105</v>
      </c>
      <c r="AL13" s="4">
        <v>9</v>
      </c>
      <c r="AM13" s="4"/>
      <c r="AN13" s="4"/>
      <c r="AO13" s="4"/>
      <c r="AP13" s="4"/>
      <c r="AQ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</row>
    <row r="14" spans="1:66" x14ac:dyDescent="0.3">
      <c r="A14" s="9">
        <v>12</v>
      </c>
      <c r="B14" s="10"/>
      <c r="E14" s="43"/>
      <c r="I14" s="18"/>
      <c r="J14" s="18"/>
      <c r="K14" s="18"/>
      <c r="L14" s="18"/>
      <c r="M14" s="18"/>
      <c r="N14" s="18"/>
      <c r="AH14" s="4">
        <v>1.5483870506286621</v>
      </c>
      <c r="AI14" s="4">
        <v>7</v>
      </c>
      <c r="AJ14" s="4"/>
      <c r="AK14" s="4">
        <v>0.77419352531433105</v>
      </c>
      <c r="AL14" s="4">
        <v>9</v>
      </c>
      <c r="AM14" s="4"/>
      <c r="AN14" s="4"/>
      <c r="AO14" s="4"/>
      <c r="AP14" s="4"/>
      <c r="AQ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</row>
    <row r="15" spans="1:66" x14ac:dyDescent="0.3">
      <c r="A15" s="9">
        <v>13</v>
      </c>
      <c r="B15" s="10"/>
      <c r="E15" s="43"/>
      <c r="I15" s="18"/>
      <c r="J15" s="18"/>
      <c r="K15" s="18"/>
      <c r="L15" s="18"/>
      <c r="M15" s="18"/>
      <c r="N15" s="18"/>
      <c r="AH15" s="4">
        <v>1.6774193048477173</v>
      </c>
      <c r="AI15" s="4">
        <v>6</v>
      </c>
      <c r="AJ15" s="4"/>
      <c r="AK15" s="4">
        <v>0.90322577953338623</v>
      </c>
      <c r="AL15" s="4">
        <v>9</v>
      </c>
      <c r="AM15" s="4"/>
      <c r="AN15" s="4"/>
      <c r="AO15" s="4"/>
      <c r="AP15" s="4"/>
      <c r="AQ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</row>
    <row r="16" spans="1:66" x14ac:dyDescent="0.3">
      <c r="A16" s="9">
        <v>14</v>
      </c>
      <c r="B16" s="10"/>
      <c r="E16" s="43"/>
      <c r="I16" s="18"/>
      <c r="J16" s="18"/>
      <c r="K16" s="18"/>
      <c r="L16" s="18"/>
      <c r="M16" s="18"/>
      <c r="N16" s="18"/>
      <c r="AH16" s="4">
        <v>1.8064515590667725</v>
      </c>
      <c r="AI16" s="4">
        <v>6</v>
      </c>
      <c r="AJ16" s="4"/>
      <c r="AK16" s="4">
        <v>0.90322577953338623</v>
      </c>
      <c r="AL16" s="4">
        <v>12</v>
      </c>
      <c r="AM16" s="4"/>
      <c r="AN16" s="4"/>
      <c r="AO16" s="4"/>
      <c r="AP16" s="4"/>
      <c r="AQ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</row>
    <row r="17" spans="1:66" x14ac:dyDescent="0.3">
      <c r="A17" s="9">
        <v>15</v>
      </c>
      <c r="B17" s="10"/>
      <c r="I17" s="18"/>
      <c r="J17" s="18"/>
      <c r="K17" s="18"/>
      <c r="L17" s="18"/>
      <c r="M17" s="18"/>
      <c r="N17" s="18"/>
      <c r="AH17" s="4">
        <v>1.9354838132858276</v>
      </c>
      <c r="AI17" s="4">
        <v>2</v>
      </c>
      <c r="AJ17" s="4"/>
      <c r="AK17" s="4">
        <v>1.0322580337524414</v>
      </c>
      <c r="AL17" s="4">
        <v>12</v>
      </c>
      <c r="AM17" s="4"/>
      <c r="AN17" s="4"/>
      <c r="AO17" s="4"/>
      <c r="AP17" s="4"/>
      <c r="AQ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</row>
    <row r="18" spans="1:66" x14ac:dyDescent="0.3">
      <c r="A18" s="9">
        <v>16</v>
      </c>
      <c r="B18" s="10"/>
      <c r="I18" s="18"/>
      <c r="J18" s="18"/>
      <c r="K18" s="18"/>
      <c r="L18" s="18"/>
      <c r="M18" s="18"/>
      <c r="N18" s="18"/>
      <c r="AH18" s="4">
        <v>2.0645160675048828</v>
      </c>
      <c r="AI18" s="4">
        <v>5</v>
      </c>
      <c r="AJ18" s="4"/>
      <c r="AK18" s="4">
        <v>1.0322580337524414</v>
      </c>
      <c r="AL18" s="4">
        <v>8</v>
      </c>
      <c r="AM18" s="4"/>
      <c r="AN18" s="4"/>
      <c r="AO18" s="4"/>
      <c r="AP18" s="4"/>
      <c r="AQ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</row>
    <row r="19" spans="1:66" x14ac:dyDescent="0.3">
      <c r="A19" s="9">
        <v>17</v>
      </c>
      <c r="B19" s="10"/>
      <c r="I19" s="18"/>
      <c r="J19" s="18"/>
      <c r="K19" s="18"/>
      <c r="L19" s="18"/>
      <c r="M19" s="18"/>
      <c r="N19" s="18"/>
      <c r="AH19" s="4">
        <v>2.193548321723938</v>
      </c>
      <c r="AI19" s="4">
        <v>2</v>
      </c>
      <c r="AJ19" s="4"/>
      <c r="AK19" s="4">
        <v>1.1612902879714966</v>
      </c>
      <c r="AL19" s="4">
        <v>8</v>
      </c>
      <c r="AM19" s="4"/>
      <c r="AN19" s="4"/>
      <c r="AO19" s="4"/>
      <c r="AP19" s="4"/>
      <c r="AQ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</row>
    <row r="20" spans="1:66" x14ac:dyDescent="0.3">
      <c r="A20" s="9">
        <v>18</v>
      </c>
      <c r="B20" s="10"/>
      <c r="I20" s="18"/>
      <c r="J20" s="18"/>
      <c r="K20" s="18"/>
      <c r="L20" s="18"/>
      <c r="M20" s="18"/>
      <c r="N20" s="18"/>
      <c r="AH20" s="4">
        <v>2.3225805759429932</v>
      </c>
      <c r="AI20" s="4">
        <v>3</v>
      </c>
      <c r="AJ20" s="4"/>
      <c r="AK20" s="4">
        <v>1.1612902879714966</v>
      </c>
      <c r="AL20" s="4">
        <v>3</v>
      </c>
      <c r="AM20" s="4"/>
      <c r="AN20" s="4"/>
      <c r="AO20" s="4"/>
      <c r="AP20" s="4"/>
      <c r="AQ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</row>
    <row r="21" spans="1:66" x14ac:dyDescent="0.3">
      <c r="A21" s="9">
        <v>19</v>
      </c>
      <c r="B21" s="10"/>
      <c r="I21" s="18"/>
      <c r="J21" s="18"/>
      <c r="K21" s="18"/>
      <c r="L21" s="18"/>
      <c r="M21" s="18"/>
      <c r="N21" s="18"/>
      <c r="AH21" s="4">
        <v>2.4516128301620483</v>
      </c>
      <c r="AI21" s="4">
        <v>2</v>
      </c>
      <c r="AJ21" s="4"/>
      <c r="AK21" s="4">
        <v>1.2903225421905518</v>
      </c>
      <c r="AL21" s="4">
        <v>3</v>
      </c>
      <c r="AM21" s="4"/>
      <c r="AN21" s="4"/>
      <c r="AO21" s="4"/>
      <c r="AP21" s="4"/>
      <c r="AQ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</row>
    <row r="22" spans="1:66" x14ac:dyDescent="0.3">
      <c r="A22" s="9">
        <v>20</v>
      </c>
      <c r="B22" s="10"/>
      <c r="I22" s="18"/>
      <c r="J22" s="18"/>
      <c r="K22" s="18"/>
      <c r="L22" s="18"/>
      <c r="M22" s="18"/>
      <c r="N22" s="18"/>
      <c r="AH22" s="4">
        <v>2.5806450843811035</v>
      </c>
      <c r="AI22" s="4">
        <v>1</v>
      </c>
      <c r="AJ22" s="4"/>
      <c r="AK22" s="4">
        <v>1.2903225421905518</v>
      </c>
      <c r="AL22" s="4">
        <v>6</v>
      </c>
      <c r="AM22" s="4"/>
      <c r="AN22" s="4"/>
      <c r="AO22" s="4"/>
      <c r="AP22" s="4"/>
      <c r="AQ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</row>
    <row r="23" spans="1:66" x14ac:dyDescent="0.3">
      <c r="A23" s="9">
        <v>21</v>
      </c>
      <c r="B23" s="10"/>
      <c r="AH23" s="4">
        <v>2.7096773386001587</v>
      </c>
      <c r="AI23" s="4">
        <v>0</v>
      </c>
      <c r="AJ23" s="4"/>
      <c r="AK23" s="4">
        <v>1.4193547964096069</v>
      </c>
      <c r="AL23" s="4">
        <v>6</v>
      </c>
      <c r="AM23" s="4"/>
      <c r="AN23" s="4"/>
      <c r="AO23" s="4"/>
      <c r="AP23" s="4"/>
      <c r="AQ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</row>
    <row r="24" spans="1:66" x14ac:dyDescent="0.3">
      <c r="A24" s="9">
        <v>22</v>
      </c>
      <c r="B24" s="10"/>
      <c r="AH24" s="4">
        <v>2.8387095928192139</v>
      </c>
      <c r="AI24" s="4">
        <v>0</v>
      </c>
      <c r="AJ24" s="4"/>
      <c r="AK24" s="4">
        <v>1.4193547964096069</v>
      </c>
      <c r="AL24" s="4">
        <v>7</v>
      </c>
      <c r="AM24" s="4"/>
      <c r="AN24" s="4"/>
      <c r="AO24" s="4"/>
      <c r="AP24" s="4"/>
      <c r="AQ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</row>
    <row r="25" spans="1:66" x14ac:dyDescent="0.3">
      <c r="A25" s="9">
        <v>23</v>
      </c>
      <c r="B25" s="10"/>
      <c r="AH25" s="4">
        <v>2.967741847038269</v>
      </c>
      <c r="AI25" s="4">
        <v>0</v>
      </c>
      <c r="AJ25" s="4"/>
      <c r="AK25" s="4">
        <v>1.5483870506286621</v>
      </c>
      <c r="AL25" s="4">
        <v>7</v>
      </c>
      <c r="AM25" s="4"/>
      <c r="AN25" s="4"/>
      <c r="AO25" s="4"/>
      <c r="AP25" s="4"/>
      <c r="AQ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</row>
    <row r="26" spans="1:66" x14ac:dyDescent="0.3">
      <c r="A26" s="9">
        <v>24</v>
      </c>
      <c r="B26" s="10"/>
      <c r="AH26" s="4">
        <v>3.0967741012573242</v>
      </c>
      <c r="AI26" s="4">
        <v>0</v>
      </c>
      <c r="AJ26" s="4"/>
      <c r="AK26" s="4">
        <v>1.5483870506286621</v>
      </c>
      <c r="AL26" s="4">
        <v>6</v>
      </c>
      <c r="AM26" s="4"/>
      <c r="AN26" s="4"/>
      <c r="AO26" s="4"/>
      <c r="AP26" s="4"/>
      <c r="AQ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</row>
    <row r="27" spans="1:66" x14ac:dyDescent="0.3">
      <c r="A27" s="9">
        <v>25</v>
      </c>
      <c r="B27" s="10"/>
      <c r="AH27" s="4">
        <v>3.2258063554763794</v>
      </c>
      <c r="AI27" s="4">
        <v>0</v>
      </c>
      <c r="AJ27" s="4"/>
      <c r="AK27" s="4">
        <v>1.6774193048477173</v>
      </c>
      <c r="AL27" s="4">
        <v>6</v>
      </c>
      <c r="AM27" s="4"/>
      <c r="AN27" s="4"/>
      <c r="AO27" s="4"/>
      <c r="AP27" s="4"/>
      <c r="AQ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</row>
    <row r="28" spans="1:66" x14ac:dyDescent="0.3">
      <c r="A28" s="9">
        <v>26</v>
      </c>
      <c r="B28" s="10"/>
      <c r="AH28" s="4">
        <v>3.3548386096954346</v>
      </c>
      <c r="AI28" s="4">
        <v>0</v>
      </c>
      <c r="AJ28" s="4"/>
      <c r="AK28" s="4">
        <v>1.6774193048477173</v>
      </c>
      <c r="AL28" s="4">
        <v>6</v>
      </c>
      <c r="AM28" s="4"/>
      <c r="AN28" s="4"/>
      <c r="AO28" s="4"/>
      <c r="AP28" s="4"/>
      <c r="AQ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</row>
    <row r="29" spans="1:66" x14ac:dyDescent="0.3">
      <c r="A29" s="9">
        <v>27</v>
      </c>
      <c r="B29" s="10"/>
      <c r="AH29" s="4">
        <v>3.4838708639144897</v>
      </c>
      <c r="AI29" s="4">
        <v>0</v>
      </c>
      <c r="AJ29" s="4"/>
      <c r="AK29" s="4">
        <v>1.8064515590667725</v>
      </c>
      <c r="AL29" s="4">
        <v>6</v>
      </c>
      <c r="AM29" s="4"/>
      <c r="AN29" s="4"/>
      <c r="AO29" s="4"/>
      <c r="AP29" s="4"/>
      <c r="AQ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</row>
    <row r="30" spans="1:66" x14ac:dyDescent="0.3">
      <c r="A30" s="9">
        <v>28</v>
      </c>
      <c r="B30" s="10"/>
      <c r="AH30" s="4">
        <v>3.6129031181335449</v>
      </c>
      <c r="AI30" s="4">
        <v>0</v>
      </c>
      <c r="AJ30" s="4"/>
      <c r="AK30" s="4">
        <v>1.8064515590667725</v>
      </c>
      <c r="AL30" s="4">
        <v>2</v>
      </c>
      <c r="AM30" s="4"/>
      <c r="AN30" s="4"/>
      <c r="AO30" s="4"/>
      <c r="AP30" s="4"/>
      <c r="AQ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</row>
    <row r="31" spans="1:66" x14ac:dyDescent="0.3">
      <c r="A31" s="9">
        <v>29</v>
      </c>
      <c r="B31" s="10"/>
      <c r="AH31" s="4">
        <v>3.7419353723526001</v>
      </c>
      <c r="AI31" s="4">
        <v>0</v>
      </c>
      <c r="AJ31" s="4"/>
      <c r="AK31" s="4">
        <v>1.9354838132858276</v>
      </c>
      <c r="AL31" s="4">
        <v>2</v>
      </c>
      <c r="AM31" s="4"/>
      <c r="AN31" s="4"/>
      <c r="AO31" s="4"/>
      <c r="AP31" s="4"/>
      <c r="AQ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</row>
    <row r="32" spans="1:66" x14ac:dyDescent="0.3">
      <c r="A32" s="9">
        <v>30</v>
      </c>
      <c r="B32" s="10"/>
      <c r="AH32" s="4">
        <v>3.8709676265716553</v>
      </c>
      <c r="AI32" s="4">
        <v>0</v>
      </c>
      <c r="AJ32" s="4"/>
      <c r="AK32" s="4">
        <v>1.9354838132858276</v>
      </c>
      <c r="AL32" s="4">
        <v>5</v>
      </c>
      <c r="AM32" s="4"/>
      <c r="AN32" s="4"/>
      <c r="AO32" s="4"/>
      <c r="AP32" s="4"/>
      <c r="AQ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</row>
    <row r="33" spans="1:66" x14ac:dyDescent="0.3">
      <c r="A33" s="9">
        <v>31</v>
      </c>
      <c r="B33" s="10"/>
      <c r="AH33" s="4">
        <v>3.9999998807907104</v>
      </c>
      <c r="AI33" s="4">
        <v>0</v>
      </c>
      <c r="AJ33" s="4"/>
      <c r="AK33" s="4">
        <v>2.0645160675048828</v>
      </c>
      <c r="AL33" s="4">
        <v>5</v>
      </c>
      <c r="AM33" s="4"/>
      <c r="AN33" s="4"/>
      <c r="AO33" s="4"/>
      <c r="AP33" s="4"/>
      <c r="AQ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</row>
    <row r="34" spans="1:66" x14ac:dyDescent="0.3">
      <c r="A34" s="9">
        <v>32</v>
      </c>
      <c r="B34" s="10"/>
      <c r="AH34" s="4"/>
      <c r="AI34" s="4"/>
      <c r="AJ34" s="4"/>
      <c r="AK34" s="4">
        <v>2.0645160675048828</v>
      </c>
      <c r="AL34" s="4">
        <v>2</v>
      </c>
      <c r="AM34" s="4"/>
      <c r="AN34" s="4"/>
      <c r="AO34" s="4"/>
      <c r="AP34" s="4"/>
      <c r="AQ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</row>
    <row r="35" spans="1:66" x14ac:dyDescent="0.3">
      <c r="A35" s="9">
        <v>33</v>
      </c>
      <c r="B35" s="10"/>
      <c r="AH35" s="4"/>
      <c r="AI35" s="4"/>
      <c r="AJ35" s="4"/>
      <c r="AK35" s="4">
        <v>2.193548321723938</v>
      </c>
      <c r="AL35" s="4">
        <v>2</v>
      </c>
      <c r="AM35" s="4"/>
      <c r="AN35" s="4"/>
      <c r="AO35" s="4"/>
      <c r="AP35" s="4"/>
      <c r="AQ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</row>
    <row r="36" spans="1:66" x14ac:dyDescent="0.3">
      <c r="A36" s="9">
        <v>34</v>
      </c>
      <c r="B36" s="10"/>
      <c r="AH36" s="4"/>
      <c r="AI36" s="4"/>
      <c r="AJ36" s="4"/>
      <c r="AK36" s="4">
        <v>2.193548321723938</v>
      </c>
      <c r="AL36" s="4">
        <v>3</v>
      </c>
      <c r="AM36" s="4"/>
      <c r="AN36" s="4"/>
      <c r="AO36" s="4"/>
      <c r="AP36" s="4"/>
      <c r="AQ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</row>
    <row r="37" spans="1:66" x14ac:dyDescent="0.3">
      <c r="A37" s="9">
        <v>35</v>
      </c>
      <c r="B37" s="10"/>
      <c r="AH37" s="4"/>
      <c r="AI37" s="4"/>
      <c r="AJ37" s="4"/>
      <c r="AK37" s="4">
        <v>2.3225805759429932</v>
      </c>
      <c r="AL37" s="4">
        <v>3</v>
      </c>
      <c r="AM37" s="4"/>
      <c r="AN37" s="4"/>
      <c r="AO37" s="4"/>
      <c r="AP37" s="4"/>
      <c r="AQ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</row>
    <row r="38" spans="1:66" x14ac:dyDescent="0.3">
      <c r="A38" s="9">
        <v>36</v>
      </c>
      <c r="B38" s="10"/>
      <c r="AH38" s="4"/>
      <c r="AI38" s="4"/>
      <c r="AJ38" s="4"/>
      <c r="AK38" s="4">
        <v>2.3225805759429932</v>
      </c>
      <c r="AL38" s="4">
        <v>2</v>
      </c>
      <c r="AM38" s="4"/>
      <c r="AN38" s="4"/>
      <c r="AO38" s="4"/>
      <c r="AP38" s="4"/>
      <c r="AQ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</row>
    <row r="39" spans="1:66" x14ac:dyDescent="0.3">
      <c r="A39" s="9">
        <v>37</v>
      </c>
      <c r="B39" s="10"/>
      <c r="AH39" s="4"/>
      <c r="AI39" s="4"/>
      <c r="AJ39" s="4"/>
      <c r="AK39" s="4">
        <v>2.4516128301620483</v>
      </c>
      <c r="AL39" s="4">
        <v>2</v>
      </c>
      <c r="AM39" s="4"/>
      <c r="AN39" s="4"/>
      <c r="AO39" s="4"/>
      <c r="AP39" s="4"/>
      <c r="AQ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</row>
    <row r="40" spans="1:66" x14ac:dyDescent="0.3">
      <c r="A40" s="9">
        <v>38</v>
      </c>
      <c r="B40" s="10"/>
      <c r="AH40" s="4"/>
      <c r="AI40" s="4"/>
      <c r="AJ40" s="4"/>
      <c r="AK40" s="4">
        <v>2.4516128301620483</v>
      </c>
      <c r="AL40" s="4">
        <v>1</v>
      </c>
      <c r="AM40" s="4"/>
      <c r="AN40" s="4"/>
      <c r="AO40" s="4"/>
      <c r="AP40" s="4"/>
      <c r="AQ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</row>
    <row r="41" spans="1:66" x14ac:dyDescent="0.3">
      <c r="A41" s="9">
        <v>39</v>
      </c>
      <c r="B41" s="10"/>
      <c r="AH41" s="4"/>
      <c r="AI41" s="4"/>
      <c r="AJ41" s="4"/>
      <c r="AK41" s="4">
        <v>2.5806450843811035</v>
      </c>
      <c r="AL41" s="4">
        <v>1</v>
      </c>
      <c r="AM41" s="4"/>
      <c r="AN41" s="4"/>
      <c r="AO41" s="4"/>
      <c r="AP41" s="4"/>
      <c r="AQ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</row>
    <row r="42" spans="1:66" x14ac:dyDescent="0.3">
      <c r="A42" s="9">
        <v>40</v>
      </c>
      <c r="B42" s="10"/>
      <c r="AH42" s="4"/>
      <c r="AI42" s="4"/>
      <c r="AJ42" s="4"/>
      <c r="AK42" s="4">
        <v>2.5806450843811035</v>
      </c>
      <c r="AL42" s="4">
        <v>0</v>
      </c>
      <c r="AM42" s="4"/>
      <c r="AN42" s="4"/>
      <c r="AO42" s="4"/>
      <c r="AP42" s="4"/>
      <c r="AQ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</row>
    <row r="43" spans="1:66" x14ac:dyDescent="0.3">
      <c r="A43" s="9">
        <v>41</v>
      </c>
      <c r="B43" s="10"/>
      <c r="AH43" s="4"/>
      <c r="AI43" s="4"/>
      <c r="AJ43" s="4"/>
      <c r="AK43" s="4">
        <v>2.7096773386001587</v>
      </c>
      <c r="AL43" s="4">
        <v>0</v>
      </c>
      <c r="AM43" s="4"/>
      <c r="AN43" s="4"/>
      <c r="AO43" s="4"/>
      <c r="AP43" s="4"/>
      <c r="AQ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</row>
    <row r="44" spans="1:66" x14ac:dyDescent="0.3">
      <c r="A44" s="9">
        <v>42</v>
      </c>
      <c r="B44" s="10"/>
      <c r="AH44" s="4"/>
      <c r="AI44" s="4"/>
      <c r="AJ44" s="4"/>
      <c r="AK44" s="4">
        <v>2.7096773386001587</v>
      </c>
      <c r="AL44" s="4">
        <v>0</v>
      </c>
      <c r="AM44" s="4"/>
      <c r="AN44" s="4"/>
      <c r="AO44" s="4"/>
      <c r="AP44" s="4"/>
      <c r="AQ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</row>
    <row r="45" spans="1:66" x14ac:dyDescent="0.3">
      <c r="A45" s="9">
        <v>43</v>
      </c>
      <c r="B45" s="10"/>
      <c r="AH45" s="4"/>
      <c r="AI45" s="4"/>
      <c r="AJ45" s="4"/>
      <c r="AK45" s="4">
        <v>2.8387095928192139</v>
      </c>
      <c r="AL45" s="4">
        <v>0</v>
      </c>
      <c r="AM45" s="4"/>
      <c r="AN45" s="4"/>
      <c r="AO45" s="4"/>
      <c r="AP45" s="4"/>
      <c r="AQ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</row>
    <row r="46" spans="1:66" x14ac:dyDescent="0.3">
      <c r="A46" s="9">
        <v>44</v>
      </c>
      <c r="B46" s="10"/>
      <c r="AH46" s="4"/>
      <c r="AI46" s="4"/>
      <c r="AJ46" s="4"/>
      <c r="AK46" s="4">
        <v>2.8387095928192139</v>
      </c>
      <c r="AL46" s="4">
        <v>0</v>
      </c>
      <c r="AM46" s="4"/>
      <c r="AN46" s="4"/>
      <c r="AO46" s="4"/>
      <c r="AP46" s="4"/>
      <c r="AQ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</row>
    <row r="47" spans="1:66" x14ac:dyDescent="0.3">
      <c r="A47" s="9">
        <v>45</v>
      </c>
      <c r="B47" s="10"/>
      <c r="AH47" s="4"/>
      <c r="AI47" s="4"/>
      <c r="AJ47" s="4"/>
      <c r="AK47" s="4">
        <v>2.967741847038269</v>
      </c>
      <c r="AL47" s="4">
        <v>0</v>
      </c>
      <c r="AM47" s="4"/>
      <c r="AN47" s="4"/>
      <c r="AO47" s="4"/>
      <c r="AP47" s="4"/>
      <c r="AQ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</row>
    <row r="48" spans="1:66" x14ac:dyDescent="0.3">
      <c r="A48" s="9">
        <v>46</v>
      </c>
      <c r="B48" s="10"/>
      <c r="AH48" s="4"/>
      <c r="AI48" s="4"/>
      <c r="AJ48" s="4"/>
      <c r="AK48" s="4">
        <v>2.967741847038269</v>
      </c>
      <c r="AL48" s="4">
        <v>0</v>
      </c>
      <c r="AM48" s="4"/>
      <c r="AN48" s="4"/>
      <c r="AO48" s="4"/>
      <c r="AP48" s="4"/>
      <c r="AQ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</row>
    <row r="49" spans="1:66" x14ac:dyDescent="0.3">
      <c r="A49" s="9">
        <v>47</v>
      </c>
      <c r="B49" s="10"/>
      <c r="AH49" s="4"/>
      <c r="AI49" s="4"/>
      <c r="AJ49" s="4"/>
      <c r="AK49" s="4">
        <v>3.0967741012573242</v>
      </c>
      <c r="AL49" s="4">
        <v>0</v>
      </c>
      <c r="AM49" s="4"/>
      <c r="AN49" s="4"/>
      <c r="AO49" s="4"/>
      <c r="AP49" s="4"/>
      <c r="AQ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</row>
    <row r="50" spans="1:66" x14ac:dyDescent="0.3">
      <c r="A50" s="9">
        <v>48</v>
      </c>
      <c r="B50" s="10"/>
      <c r="AH50" s="4"/>
      <c r="AI50" s="4"/>
      <c r="AJ50" s="4"/>
      <c r="AK50" s="4">
        <v>3.0967741012573242</v>
      </c>
      <c r="AL50" s="4">
        <v>0</v>
      </c>
      <c r="AM50" s="4"/>
      <c r="AN50" s="4"/>
      <c r="AO50" s="4"/>
      <c r="AP50" s="4"/>
      <c r="AQ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</row>
    <row r="51" spans="1:66" x14ac:dyDescent="0.3">
      <c r="A51" s="9">
        <v>49</v>
      </c>
      <c r="B51" s="10"/>
      <c r="AH51" s="4"/>
      <c r="AI51" s="4"/>
      <c r="AJ51" s="4"/>
      <c r="AK51" s="4">
        <v>3.2258063554763794</v>
      </c>
      <c r="AL51" s="4">
        <v>0</v>
      </c>
      <c r="AM51" s="4"/>
      <c r="AN51" s="4"/>
      <c r="AO51" s="4"/>
      <c r="AP51" s="4"/>
      <c r="AQ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</row>
    <row r="52" spans="1:66" x14ac:dyDescent="0.3">
      <c r="A52" s="9">
        <v>50</v>
      </c>
      <c r="B52" s="10"/>
      <c r="AH52" s="4"/>
      <c r="AI52" s="4"/>
      <c r="AJ52" s="4"/>
      <c r="AK52" s="4">
        <v>3.2258063554763794</v>
      </c>
      <c r="AL52" s="4">
        <v>0</v>
      </c>
      <c r="AM52" s="4"/>
      <c r="AN52" s="4"/>
      <c r="AO52" s="4"/>
      <c r="AP52" s="4"/>
      <c r="AQ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</row>
    <row r="53" spans="1:66" x14ac:dyDescent="0.3">
      <c r="A53" s="9">
        <v>51</v>
      </c>
      <c r="B53" s="10"/>
      <c r="AH53" s="4"/>
      <c r="AI53" s="4"/>
      <c r="AJ53" s="4"/>
      <c r="AK53" s="4">
        <v>3.3548386096954346</v>
      </c>
      <c r="AL53" s="4">
        <v>0</v>
      </c>
      <c r="AM53" s="4"/>
      <c r="AN53" s="4"/>
      <c r="AO53" s="4"/>
      <c r="AP53" s="4"/>
      <c r="AQ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</row>
    <row r="54" spans="1:66" x14ac:dyDescent="0.3">
      <c r="A54" s="9">
        <v>52</v>
      </c>
      <c r="B54" s="10"/>
      <c r="AH54" s="4"/>
      <c r="AI54" s="4"/>
      <c r="AJ54" s="4"/>
      <c r="AK54" s="4">
        <v>3.3548386096954346</v>
      </c>
      <c r="AL54" s="4">
        <v>0</v>
      </c>
      <c r="AM54" s="4"/>
      <c r="AN54" s="4"/>
      <c r="AO54" s="4"/>
      <c r="AP54" s="4"/>
      <c r="AQ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</row>
    <row r="55" spans="1:66" x14ac:dyDescent="0.3">
      <c r="A55" s="9">
        <v>53</v>
      </c>
      <c r="B55" s="10"/>
      <c r="AH55" s="4"/>
      <c r="AI55" s="4"/>
      <c r="AJ55" s="4"/>
      <c r="AK55" s="4">
        <v>3.4838708639144897</v>
      </c>
      <c r="AL55" s="4">
        <v>0</v>
      </c>
      <c r="AM55" s="4"/>
      <c r="AN55" s="4"/>
      <c r="AO55" s="4"/>
      <c r="AP55" s="4"/>
      <c r="AQ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</row>
    <row r="56" spans="1:66" x14ac:dyDescent="0.3">
      <c r="A56" s="9">
        <v>54</v>
      </c>
      <c r="B56" s="10"/>
      <c r="AH56" s="4"/>
      <c r="AI56" s="4"/>
      <c r="AJ56" s="4"/>
      <c r="AK56" s="4">
        <v>3.4838708639144897</v>
      </c>
      <c r="AL56" s="4">
        <v>0</v>
      </c>
      <c r="AM56" s="4"/>
      <c r="AN56" s="4"/>
      <c r="AO56" s="4"/>
      <c r="AP56" s="4"/>
      <c r="AQ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</row>
    <row r="57" spans="1:66" x14ac:dyDescent="0.3">
      <c r="A57" s="9">
        <v>55</v>
      </c>
      <c r="B57" s="10"/>
      <c r="AH57" s="4"/>
      <c r="AI57" s="4"/>
      <c r="AJ57" s="4"/>
      <c r="AK57" s="4">
        <v>3.6129031181335449</v>
      </c>
      <c r="AL57" s="4">
        <v>0</v>
      </c>
      <c r="AM57" s="4"/>
      <c r="AN57" s="4"/>
      <c r="AO57" s="4"/>
      <c r="AP57" s="4"/>
      <c r="AQ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</row>
    <row r="58" spans="1:66" x14ac:dyDescent="0.3">
      <c r="A58" s="9">
        <v>56</v>
      </c>
      <c r="B58" s="10"/>
      <c r="AH58" s="4"/>
      <c r="AI58" s="4"/>
      <c r="AJ58" s="4"/>
      <c r="AK58" s="4">
        <v>3.6129031181335449</v>
      </c>
      <c r="AL58" s="4">
        <v>0</v>
      </c>
      <c r="AM58" s="4"/>
      <c r="AN58" s="4"/>
      <c r="AO58" s="4"/>
      <c r="AP58" s="4"/>
      <c r="AQ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</row>
    <row r="59" spans="1:66" x14ac:dyDescent="0.3">
      <c r="A59" s="9">
        <v>57</v>
      </c>
      <c r="B59" s="10"/>
      <c r="AH59" s="4"/>
      <c r="AI59" s="4"/>
      <c r="AJ59" s="4"/>
      <c r="AK59" s="4">
        <v>3.7419353723526001</v>
      </c>
      <c r="AL59" s="4">
        <v>0</v>
      </c>
      <c r="AM59" s="4"/>
      <c r="AN59" s="4"/>
      <c r="AO59" s="4"/>
      <c r="AP59" s="4"/>
      <c r="AQ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</row>
    <row r="60" spans="1:66" x14ac:dyDescent="0.3">
      <c r="A60" s="9">
        <v>58</v>
      </c>
      <c r="B60" s="10"/>
      <c r="AH60" s="4"/>
      <c r="AI60" s="4"/>
      <c r="AJ60" s="4"/>
      <c r="AK60" s="4">
        <v>3.7419353723526001</v>
      </c>
      <c r="AL60" s="4">
        <v>0</v>
      </c>
      <c r="AM60" s="4"/>
      <c r="AN60" s="4"/>
      <c r="AO60" s="4"/>
      <c r="AP60" s="4"/>
      <c r="AQ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</row>
    <row r="61" spans="1:66" x14ac:dyDescent="0.3">
      <c r="A61" s="9">
        <v>59</v>
      </c>
      <c r="B61" s="10"/>
      <c r="AH61" s="4"/>
      <c r="AI61" s="4"/>
      <c r="AJ61" s="4"/>
      <c r="AK61" s="4">
        <v>3.8709676265716553</v>
      </c>
      <c r="AL61" s="4">
        <v>0</v>
      </c>
      <c r="AM61" s="4"/>
      <c r="AN61" s="4"/>
      <c r="AO61" s="4"/>
      <c r="AP61" s="4"/>
      <c r="AQ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</row>
    <row r="62" spans="1:66" x14ac:dyDescent="0.3">
      <c r="A62" s="9">
        <v>60</v>
      </c>
      <c r="B62" s="10"/>
      <c r="AH62" s="4"/>
      <c r="AI62" s="4"/>
      <c r="AJ62" s="4"/>
      <c r="AK62" s="4">
        <v>3.8709676265716553</v>
      </c>
      <c r="AL62" s="4">
        <v>0</v>
      </c>
      <c r="AM62" s="4"/>
      <c r="AN62" s="4"/>
      <c r="AO62" s="4"/>
      <c r="AP62" s="4"/>
      <c r="AQ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</row>
    <row r="63" spans="1:66" x14ac:dyDescent="0.3">
      <c r="A63" s="9">
        <v>61</v>
      </c>
      <c r="B63" s="10"/>
      <c r="AH63" s="4"/>
      <c r="AI63" s="4"/>
      <c r="AJ63" s="4"/>
      <c r="AK63" s="4">
        <v>3.9999998807907104</v>
      </c>
      <c r="AL63" s="4">
        <v>0</v>
      </c>
      <c r="AM63" s="4"/>
      <c r="AN63" s="4"/>
      <c r="AO63" s="4"/>
      <c r="AP63" s="4"/>
      <c r="AQ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</row>
    <row r="64" spans="1:66" x14ac:dyDescent="0.3">
      <c r="A64" s="9">
        <v>62</v>
      </c>
      <c r="B64" s="10"/>
      <c r="AH64" s="4"/>
      <c r="AI64" s="4"/>
      <c r="AJ64" s="4"/>
      <c r="AK64" s="4">
        <v>3.9999998807907104</v>
      </c>
      <c r="AL64" s="4">
        <v>0</v>
      </c>
      <c r="AM64" s="4"/>
      <c r="AN64" s="4"/>
      <c r="AO64" s="4"/>
      <c r="AP64" s="4"/>
      <c r="AQ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</row>
    <row r="65" spans="1:66" x14ac:dyDescent="0.3">
      <c r="A65" s="9">
        <v>63</v>
      </c>
      <c r="B65" s="10"/>
      <c r="AH65" s="4"/>
      <c r="AI65" s="4"/>
      <c r="AJ65" s="4"/>
      <c r="AK65" s="4"/>
      <c r="AL65" s="4"/>
      <c r="AM65" s="4"/>
      <c r="AN65" s="4"/>
      <c r="AO65" s="4"/>
      <c r="AP65" s="4"/>
      <c r="AQ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</row>
    <row r="66" spans="1:66" x14ac:dyDescent="0.3">
      <c r="A66" s="9">
        <v>64</v>
      </c>
      <c r="B66" s="10"/>
      <c r="AH66" s="4"/>
      <c r="AI66" s="4"/>
      <c r="AJ66" s="4"/>
      <c r="AK66" s="4"/>
      <c r="AL66" s="4"/>
      <c r="AM66" s="4"/>
      <c r="AN66" s="4"/>
      <c r="AO66" s="4"/>
      <c r="AP66" s="4"/>
      <c r="AQ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</row>
    <row r="67" spans="1:66" x14ac:dyDescent="0.3">
      <c r="A67" s="9">
        <v>65</v>
      </c>
      <c r="B67" s="10"/>
      <c r="AH67" s="4"/>
      <c r="AI67" s="4"/>
      <c r="AJ67" s="4"/>
      <c r="AK67" s="4"/>
      <c r="AL67" s="4"/>
      <c r="AM67" s="4"/>
      <c r="AN67" s="4"/>
      <c r="AO67" s="4"/>
      <c r="AP67" s="4"/>
      <c r="AQ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</row>
    <row r="68" spans="1:66" x14ac:dyDescent="0.3">
      <c r="A68" s="9">
        <v>66</v>
      </c>
      <c r="B68" s="10"/>
      <c r="AH68" s="4"/>
      <c r="AI68" s="4"/>
      <c r="AJ68" s="4"/>
      <c r="AK68" s="4"/>
      <c r="AL68" s="4"/>
      <c r="AM68" s="4"/>
      <c r="AN68" s="4"/>
      <c r="AO68" s="4"/>
      <c r="AP68" s="4"/>
      <c r="AQ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</row>
    <row r="69" spans="1:66" x14ac:dyDescent="0.3">
      <c r="A69" s="9">
        <v>67</v>
      </c>
      <c r="B69" s="10"/>
      <c r="AH69" s="4"/>
      <c r="AI69" s="4"/>
      <c r="AJ69" s="4"/>
      <c r="AK69" s="4"/>
      <c r="AL69" s="4"/>
      <c r="AM69" s="4"/>
      <c r="AN69" s="4"/>
      <c r="AO69" s="4"/>
      <c r="AP69" s="4"/>
      <c r="AQ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</row>
    <row r="70" spans="1:66" x14ac:dyDescent="0.3">
      <c r="A70" s="9">
        <v>68</v>
      </c>
      <c r="B70" s="10"/>
      <c r="AH70" s="4"/>
      <c r="AI70" s="4"/>
      <c r="AJ70" s="4"/>
      <c r="AK70" s="4"/>
      <c r="AL70" s="4"/>
      <c r="AM70" s="4"/>
      <c r="AN70" s="4"/>
      <c r="AO70" s="4"/>
      <c r="AP70" s="4"/>
      <c r="AQ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</row>
    <row r="71" spans="1:66" x14ac:dyDescent="0.3">
      <c r="A71" s="9">
        <v>69</v>
      </c>
      <c r="B71" s="10"/>
      <c r="AH71" s="4"/>
      <c r="AI71" s="4"/>
      <c r="AJ71" s="4"/>
      <c r="AK71" s="4"/>
      <c r="AL71" s="4"/>
      <c r="AM71" s="4"/>
      <c r="AN71" s="4"/>
      <c r="AO71" s="4"/>
      <c r="AP71" s="4"/>
      <c r="AQ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</row>
    <row r="72" spans="1:66" x14ac:dyDescent="0.3">
      <c r="A72" s="9">
        <v>70</v>
      </c>
      <c r="B72" s="10"/>
      <c r="AH72" s="4"/>
      <c r="AI72" s="4"/>
      <c r="AJ72" s="4"/>
      <c r="AK72" s="4"/>
      <c r="AL72" s="4"/>
      <c r="AM72" s="4"/>
      <c r="AN72" s="4"/>
      <c r="AO72" s="4"/>
      <c r="AP72" s="4"/>
      <c r="AQ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</row>
    <row r="73" spans="1:66" x14ac:dyDescent="0.3">
      <c r="A73" s="9">
        <v>71</v>
      </c>
      <c r="B73" s="10"/>
      <c r="AH73" s="4"/>
      <c r="AI73" s="4"/>
      <c r="AJ73" s="4"/>
      <c r="AK73" s="4"/>
      <c r="AL73" s="4"/>
      <c r="AM73" s="4"/>
      <c r="AN73" s="4"/>
      <c r="AO73" s="4"/>
      <c r="AP73" s="4"/>
      <c r="AQ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</row>
    <row r="74" spans="1:66" x14ac:dyDescent="0.3">
      <c r="A74" s="9">
        <v>72</v>
      </c>
      <c r="B74" s="10"/>
      <c r="AH74" s="4"/>
      <c r="AI74" s="4"/>
      <c r="AJ74" s="4"/>
      <c r="AK74" s="4"/>
      <c r="AL74" s="4"/>
      <c r="AM74" s="4"/>
      <c r="AN74" s="4"/>
      <c r="AO74" s="4"/>
      <c r="AP74" s="4"/>
      <c r="AQ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</row>
    <row r="75" spans="1:66" x14ac:dyDescent="0.3">
      <c r="A75" s="9">
        <v>73</v>
      </c>
      <c r="B75" s="10"/>
      <c r="AH75" s="4"/>
      <c r="AI75" s="4"/>
      <c r="AJ75" s="4"/>
      <c r="AK75" s="4"/>
      <c r="AL75" s="4"/>
      <c r="AM75" s="4"/>
      <c r="AN75" s="4"/>
      <c r="AO75" s="4"/>
      <c r="AP75" s="4"/>
      <c r="AQ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</row>
    <row r="76" spans="1:66" x14ac:dyDescent="0.3">
      <c r="A76" s="9">
        <v>74</v>
      </c>
      <c r="B76" s="10"/>
      <c r="AH76" s="4"/>
      <c r="AI76" s="4"/>
      <c r="AJ76" s="4"/>
      <c r="AK76" s="4"/>
      <c r="AL76" s="4"/>
      <c r="AM76" s="4"/>
      <c r="AN76" s="4"/>
      <c r="AO76" s="4"/>
      <c r="AP76" s="4"/>
      <c r="AQ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</row>
    <row r="77" spans="1:66" x14ac:dyDescent="0.3">
      <c r="A77" s="9">
        <v>75</v>
      </c>
      <c r="B77" s="10"/>
      <c r="AH77" s="4"/>
      <c r="AI77" s="4"/>
      <c r="AJ77" s="4"/>
      <c r="AK77" s="4"/>
      <c r="AL77" s="4"/>
      <c r="AM77" s="4"/>
      <c r="AN77" s="4"/>
      <c r="AO77" s="4"/>
      <c r="AP77" s="4"/>
      <c r="AQ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</row>
    <row r="78" spans="1:66" x14ac:dyDescent="0.3">
      <c r="A78" s="9">
        <v>76</v>
      </c>
      <c r="B78" s="10"/>
      <c r="AH78" s="4"/>
      <c r="AI78" s="4"/>
      <c r="AJ78" s="4"/>
      <c r="AK78" s="4"/>
      <c r="AL78" s="4"/>
      <c r="AM78" s="4"/>
      <c r="AN78" s="4"/>
      <c r="AO78" s="4"/>
      <c r="AP78" s="4"/>
      <c r="AQ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</row>
    <row r="79" spans="1:66" x14ac:dyDescent="0.3">
      <c r="A79" s="9">
        <v>77</v>
      </c>
      <c r="B79" s="10"/>
      <c r="AH79" s="4"/>
      <c r="AI79" s="4"/>
      <c r="AJ79" s="4"/>
      <c r="AK79" s="4"/>
      <c r="AL79" s="4"/>
      <c r="AM79" s="4"/>
      <c r="AN79" s="4"/>
      <c r="AO79" s="4"/>
      <c r="AP79" s="4"/>
      <c r="AQ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</row>
    <row r="80" spans="1:66" x14ac:dyDescent="0.3">
      <c r="A80" s="9">
        <v>78</v>
      </c>
      <c r="B80" s="10"/>
      <c r="AH80" s="4"/>
      <c r="AI80" s="4"/>
      <c r="AJ80" s="4"/>
      <c r="AK80" s="4"/>
      <c r="AL80" s="4"/>
      <c r="AM80" s="4"/>
      <c r="AN80" s="4"/>
      <c r="AO80" s="4"/>
      <c r="AP80" s="4"/>
      <c r="AQ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</row>
    <row r="81" spans="1:66" x14ac:dyDescent="0.3">
      <c r="A81" s="9">
        <v>79</v>
      </c>
      <c r="B81" s="10"/>
      <c r="AH81" s="4"/>
      <c r="AI81" s="4"/>
      <c r="AJ81" s="4"/>
      <c r="AK81" s="4"/>
      <c r="AL81" s="4"/>
      <c r="AM81" s="4"/>
      <c r="AN81" s="4"/>
      <c r="AO81" s="4"/>
      <c r="AP81" s="4"/>
      <c r="AQ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</row>
    <row r="82" spans="1:66" x14ac:dyDescent="0.3">
      <c r="A82" s="9">
        <v>80</v>
      </c>
      <c r="B82" s="10"/>
      <c r="AH82" s="4"/>
      <c r="AI82" s="4"/>
      <c r="AJ82" s="4"/>
      <c r="AK82" s="4"/>
      <c r="AL82" s="4"/>
      <c r="AM82" s="4"/>
      <c r="AN82" s="4"/>
      <c r="AO82" s="4"/>
      <c r="AP82" s="4"/>
      <c r="AQ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</row>
    <row r="83" spans="1:66" x14ac:dyDescent="0.3">
      <c r="A83" s="9">
        <v>81</v>
      </c>
      <c r="B83" s="10"/>
      <c r="AH83" s="4"/>
      <c r="AI83" s="4"/>
      <c r="AJ83" s="4"/>
      <c r="AK83" s="4"/>
      <c r="AL83" s="4"/>
      <c r="AM83" s="4"/>
      <c r="AN83" s="4"/>
      <c r="AO83" s="4"/>
      <c r="AP83" s="4"/>
      <c r="AQ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</row>
    <row r="84" spans="1:66" x14ac:dyDescent="0.3">
      <c r="A84" s="9">
        <v>82</v>
      </c>
      <c r="B84" s="10"/>
      <c r="AH84" s="4"/>
      <c r="AI84" s="4"/>
      <c r="AJ84" s="4"/>
      <c r="AK84" s="4"/>
      <c r="AL84" s="4"/>
      <c r="AM84" s="4"/>
      <c r="AN84" s="4"/>
      <c r="AO84" s="4"/>
      <c r="AP84" s="4"/>
      <c r="AQ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</row>
    <row r="85" spans="1:66" x14ac:dyDescent="0.3">
      <c r="A85" s="9">
        <v>83</v>
      </c>
      <c r="B85" s="10"/>
      <c r="AH85" s="4"/>
      <c r="AI85" s="4"/>
      <c r="AJ85" s="4"/>
      <c r="AK85" s="4"/>
      <c r="AL85" s="4"/>
      <c r="AM85" s="4"/>
      <c r="AN85" s="4"/>
      <c r="AO85" s="4"/>
      <c r="AP85" s="4"/>
      <c r="AQ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</row>
    <row r="86" spans="1:66" x14ac:dyDescent="0.3">
      <c r="A86" s="9">
        <v>84</v>
      </c>
      <c r="B86" s="10"/>
      <c r="AH86" s="4"/>
      <c r="AI86" s="4"/>
      <c r="AJ86" s="4"/>
      <c r="AK86" s="4"/>
      <c r="AL86" s="4"/>
      <c r="AM86" s="4"/>
      <c r="AN86" s="4"/>
      <c r="AO86" s="4"/>
      <c r="AP86" s="4"/>
      <c r="AQ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</row>
    <row r="87" spans="1:66" x14ac:dyDescent="0.3">
      <c r="A87" s="9">
        <v>85</v>
      </c>
      <c r="B87" s="10"/>
      <c r="AH87" s="4"/>
      <c r="AI87" s="4"/>
      <c r="AJ87" s="4"/>
      <c r="AK87" s="4"/>
      <c r="AL87" s="4"/>
      <c r="AM87" s="4"/>
      <c r="AN87" s="4"/>
      <c r="AO87" s="4"/>
      <c r="AP87" s="4"/>
      <c r="AQ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</row>
    <row r="88" spans="1:66" x14ac:dyDescent="0.3">
      <c r="A88" s="9">
        <v>86</v>
      </c>
      <c r="B88" s="10"/>
      <c r="AH88" s="4"/>
      <c r="AI88" s="4"/>
      <c r="AJ88" s="4"/>
      <c r="AK88" s="4"/>
      <c r="AL88" s="4"/>
      <c r="AM88" s="4"/>
      <c r="AN88" s="4"/>
      <c r="AO88" s="4"/>
      <c r="AP88" s="4"/>
      <c r="AQ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</row>
    <row r="89" spans="1:66" x14ac:dyDescent="0.3">
      <c r="A89" s="9">
        <v>87</v>
      </c>
      <c r="B89" s="10"/>
      <c r="AH89" s="4"/>
      <c r="AI89" s="4"/>
      <c r="AJ89" s="4"/>
      <c r="AK89" s="4"/>
      <c r="AL89" s="4"/>
      <c r="AM89" s="4"/>
      <c r="AN89" s="4"/>
      <c r="AO89" s="4"/>
      <c r="AP89" s="4"/>
      <c r="AQ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</row>
    <row r="90" spans="1:66" x14ac:dyDescent="0.3">
      <c r="A90" s="9">
        <v>88</v>
      </c>
      <c r="B90" s="10"/>
      <c r="AH90" s="4"/>
      <c r="AI90" s="4"/>
      <c r="AJ90" s="4"/>
      <c r="AK90" s="4"/>
      <c r="AL90" s="4"/>
      <c r="AM90" s="4"/>
      <c r="AN90" s="4"/>
      <c r="AO90" s="4"/>
      <c r="AP90" s="4"/>
      <c r="AQ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</row>
    <row r="91" spans="1:66" x14ac:dyDescent="0.3">
      <c r="A91" s="9">
        <v>89</v>
      </c>
      <c r="B91" s="10"/>
      <c r="AH91" s="4"/>
      <c r="AI91" s="4"/>
      <c r="AJ91" s="4"/>
      <c r="AK91" s="4"/>
      <c r="AL91" s="4"/>
      <c r="AM91" s="4"/>
      <c r="AN91" s="4"/>
      <c r="AO91" s="4"/>
      <c r="AP91" s="4"/>
      <c r="AQ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</row>
    <row r="92" spans="1:66" x14ac:dyDescent="0.3">
      <c r="A92" s="9">
        <v>90</v>
      </c>
      <c r="B92" s="10"/>
      <c r="AH92" s="4"/>
      <c r="AI92" s="4"/>
      <c r="AJ92" s="4"/>
      <c r="AK92" s="4"/>
      <c r="AL92" s="4"/>
      <c r="AM92" s="4"/>
      <c r="AN92" s="4"/>
      <c r="AO92" s="4"/>
      <c r="AP92" s="4"/>
      <c r="AQ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</row>
    <row r="93" spans="1:66" x14ac:dyDescent="0.3">
      <c r="A93" s="9">
        <v>91</v>
      </c>
      <c r="B93" s="10"/>
      <c r="AH93" s="4"/>
      <c r="AI93" s="4"/>
      <c r="AJ93" s="4"/>
      <c r="AK93" s="4"/>
      <c r="AL93" s="4"/>
      <c r="AM93" s="4"/>
      <c r="AN93" s="4"/>
      <c r="AO93" s="4"/>
      <c r="AP93" s="4"/>
      <c r="AQ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</row>
    <row r="94" spans="1:66" x14ac:dyDescent="0.3">
      <c r="A94" s="9">
        <v>92</v>
      </c>
      <c r="B94" s="10"/>
      <c r="AH94" s="4"/>
      <c r="AI94" s="4"/>
      <c r="AJ94" s="4"/>
      <c r="AK94" s="4"/>
      <c r="AL94" s="4"/>
      <c r="AM94" s="4"/>
      <c r="AN94" s="4"/>
      <c r="AO94" s="4"/>
      <c r="AP94" s="4"/>
      <c r="AQ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</row>
    <row r="95" spans="1:66" x14ac:dyDescent="0.3">
      <c r="A95" s="9">
        <v>93</v>
      </c>
      <c r="B95" s="10"/>
      <c r="AH95" s="4"/>
      <c r="AI95" s="4"/>
      <c r="AJ95" s="4"/>
      <c r="AK95" s="4"/>
      <c r="AL95" s="4"/>
      <c r="AM95" s="4"/>
      <c r="AN95" s="4"/>
      <c r="AO95" s="4"/>
      <c r="AP95" s="4"/>
      <c r="AQ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</row>
    <row r="96" spans="1:66" x14ac:dyDescent="0.3">
      <c r="A96" s="9">
        <v>94</v>
      </c>
      <c r="B96" s="10"/>
      <c r="AH96" s="4"/>
      <c r="AI96" s="4"/>
      <c r="AJ96" s="4"/>
      <c r="AK96" s="4"/>
      <c r="AL96" s="4"/>
      <c r="AM96" s="4"/>
      <c r="AN96" s="4"/>
      <c r="AO96" s="4"/>
      <c r="AP96" s="4"/>
      <c r="AQ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</row>
    <row r="97" spans="1:66" x14ac:dyDescent="0.3">
      <c r="A97" s="9">
        <v>95</v>
      </c>
      <c r="B97" s="10"/>
      <c r="AH97" s="4"/>
      <c r="AI97" s="4"/>
      <c r="AJ97" s="4"/>
      <c r="AK97" s="4"/>
      <c r="AL97" s="4"/>
      <c r="AM97" s="4"/>
      <c r="AN97" s="4"/>
      <c r="AO97" s="4"/>
      <c r="AP97" s="4"/>
      <c r="AQ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</row>
    <row r="98" spans="1:66" x14ac:dyDescent="0.3">
      <c r="A98" s="9">
        <v>96</v>
      </c>
      <c r="B98" s="10"/>
      <c r="AH98" s="4"/>
      <c r="AI98" s="4"/>
      <c r="AJ98" s="4"/>
      <c r="AK98" s="4"/>
      <c r="AL98" s="4"/>
      <c r="AM98" s="4"/>
      <c r="AN98" s="4"/>
      <c r="AO98" s="4"/>
      <c r="AP98" s="4"/>
      <c r="AQ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</row>
    <row r="99" spans="1:66" x14ac:dyDescent="0.3">
      <c r="A99" s="9">
        <v>97</v>
      </c>
      <c r="B99" s="10"/>
      <c r="AH99" s="4"/>
      <c r="AI99" s="4"/>
      <c r="AJ99" s="4"/>
      <c r="AK99" s="4"/>
      <c r="AL99" s="4"/>
      <c r="AM99" s="4"/>
      <c r="AN99" s="4"/>
      <c r="AO99" s="4"/>
      <c r="AP99" s="4"/>
      <c r="AQ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</row>
    <row r="100" spans="1:66" x14ac:dyDescent="0.3">
      <c r="A100" s="9">
        <v>98</v>
      </c>
      <c r="B100" s="10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</row>
    <row r="101" spans="1:66" x14ac:dyDescent="0.3">
      <c r="A101" s="9">
        <v>99</v>
      </c>
      <c r="B101" s="10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</row>
    <row r="102" spans="1:66" x14ac:dyDescent="0.3">
      <c r="A102" s="9">
        <v>100</v>
      </c>
      <c r="B102" s="10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</row>
    <row r="103" spans="1:66" x14ac:dyDescent="0.3">
      <c r="A103" s="44" t="s">
        <v>25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N103"/>
  <sheetViews>
    <sheetView showGridLines="0" workbookViewId="0">
      <selection activeCell="B8" sqref="B8"/>
    </sheetView>
  </sheetViews>
  <sheetFormatPr defaultColWidth="9.33203125" defaultRowHeight="15.6" x14ac:dyDescent="0.3"/>
  <cols>
    <col min="1" max="1" width="9.33203125" style="9" customWidth="1"/>
    <col min="2" max="2" width="12.33203125" style="49" customWidth="1"/>
    <col min="3" max="3" width="12.33203125" style="50" customWidth="1"/>
    <col min="4" max="4" width="8.6640625" style="4" customWidth="1"/>
    <col min="5" max="5" width="8.6640625" style="14" customWidth="1"/>
    <col min="6" max="6" width="13.33203125" style="51" customWidth="1"/>
    <col min="7" max="7" width="9.33203125" style="14"/>
    <col min="8" max="8" width="7.5546875" style="14" customWidth="1"/>
    <col min="9" max="14" width="11.5546875" style="14" customWidth="1"/>
    <col min="15" max="17" width="9.33203125" style="14"/>
    <col min="18" max="19" width="9.33203125" style="4"/>
    <col min="20" max="20" width="16.33203125" style="4" customWidth="1"/>
    <col min="21" max="22" width="12.6640625" style="4" customWidth="1"/>
    <col min="23" max="54" width="9.33203125" style="4"/>
    <col min="55" max="16384" width="9.33203125" style="14"/>
  </cols>
  <sheetData>
    <row r="1" spans="1:66" ht="31.2" thickBot="1" x14ac:dyDescent="0.6">
      <c r="A1" s="48" t="s">
        <v>27</v>
      </c>
      <c r="I1" s="4"/>
      <c r="J1" s="4"/>
      <c r="K1" s="4"/>
      <c r="L1" s="4"/>
      <c r="M1" s="4"/>
      <c r="N1" s="4"/>
      <c r="O1" s="4"/>
      <c r="Q1" s="4"/>
      <c r="AH1" s="8"/>
      <c r="AI1" s="8"/>
      <c r="AJ1" s="8"/>
      <c r="AK1" s="8"/>
      <c r="AL1" s="8"/>
      <c r="AM1" s="8"/>
      <c r="AN1" s="8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</row>
    <row r="2" spans="1:66" s="6" customFormat="1" ht="39.75" customHeight="1" thickBot="1" x14ac:dyDescent="0.35">
      <c r="A2" s="2" t="s">
        <v>15</v>
      </c>
      <c r="B2" s="52" t="s">
        <v>28</v>
      </c>
      <c r="C2" s="53" t="s">
        <v>29</v>
      </c>
      <c r="D2" s="4"/>
      <c r="E2" s="5"/>
      <c r="F2" s="93" t="s">
        <v>16</v>
      </c>
      <c r="G2" s="100"/>
      <c r="I2" s="7"/>
      <c r="J2" s="7"/>
      <c r="K2" s="7"/>
      <c r="L2" s="7"/>
      <c r="M2" s="7"/>
      <c r="N2" s="7"/>
      <c r="O2" s="7"/>
      <c r="Q2" s="7"/>
      <c r="R2" s="4"/>
      <c r="S2" s="4"/>
      <c r="T2" s="4"/>
      <c r="U2" s="4"/>
      <c r="V2" s="4"/>
      <c r="W2" s="7"/>
      <c r="X2" s="7"/>
      <c r="Y2" s="4"/>
      <c r="Z2" s="4"/>
      <c r="AA2" s="4"/>
      <c r="AB2" s="4"/>
      <c r="AC2" s="4"/>
      <c r="AD2" s="4"/>
      <c r="AE2" s="4"/>
      <c r="AF2" s="4"/>
      <c r="AG2" s="4"/>
      <c r="AH2" s="8"/>
      <c r="AI2" s="8"/>
      <c r="AJ2" s="8"/>
      <c r="AK2" s="8"/>
      <c r="AL2" s="8"/>
      <c r="AM2" s="8"/>
      <c r="AN2" s="8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6.2" thickBot="1" x14ac:dyDescent="0.35">
      <c r="A3" s="9">
        <v>1</v>
      </c>
      <c r="B3" s="54"/>
      <c r="C3" s="55"/>
      <c r="E3" s="11"/>
      <c r="F3" s="12"/>
      <c r="G3" s="13" t="s">
        <v>17</v>
      </c>
      <c r="AH3" s="8"/>
      <c r="AI3" s="8"/>
      <c r="AJ3" s="8"/>
      <c r="AK3" s="8"/>
      <c r="AL3" s="8"/>
      <c r="AM3" s="8"/>
      <c r="AN3" s="8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</row>
    <row r="4" spans="1:66" ht="16.2" thickBot="1" x14ac:dyDescent="0.35">
      <c r="A4" s="9">
        <v>2</v>
      </c>
      <c r="B4" s="54"/>
      <c r="C4" s="55"/>
      <c r="E4" s="11"/>
      <c r="F4" s="15"/>
      <c r="G4" s="56" t="s">
        <v>30</v>
      </c>
      <c r="I4" s="101" t="s">
        <v>28</v>
      </c>
      <c r="J4" s="102"/>
      <c r="K4" s="103" t="s">
        <v>29</v>
      </c>
      <c r="L4" s="104"/>
      <c r="M4" s="98" t="s">
        <v>20</v>
      </c>
      <c r="N4" s="99"/>
      <c r="P4" s="17"/>
      <c r="AH4" s="8"/>
      <c r="AI4" s="8"/>
      <c r="AJ4" s="8"/>
      <c r="AK4" s="8"/>
      <c r="AL4" s="8"/>
      <c r="AM4" s="8"/>
      <c r="AN4" s="8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</row>
    <row r="5" spans="1:66" x14ac:dyDescent="0.3">
      <c r="A5" s="9">
        <v>3</v>
      </c>
      <c r="B5" s="54"/>
      <c r="C5" s="55"/>
      <c r="E5" s="18"/>
      <c r="F5" s="19"/>
      <c r="G5" s="18"/>
      <c r="I5" s="57" t="s">
        <v>21</v>
      </c>
      <c r="J5" s="58">
        <v>3.8919870765226666E-3</v>
      </c>
      <c r="K5" s="59" t="s">
        <v>21</v>
      </c>
      <c r="L5" s="60">
        <v>3.3556206172831171E-3</v>
      </c>
      <c r="M5" s="24"/>
      <c r="N5" s="61"/>
      <c r="P5" s="17"/>
      <c r="AH5" s="8"/>
      <c r="AI5" s="8"/>
      <c r="AJ5" s="8"/>
      <c r="AK5" s="8"/>
      <c r="AL5" s="8"/>
      <c r="AM5" s="8"/>
      <c r="AN5" s="8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</row>
    <row r="6" spans="1:66" x14ac:dyDescent="0.3">
      <c r="A6" s="9">
        <v>4</v>
      </c>
      <c r="B6" s="54"/>
      <c r="C6" s="55"/>
      <c r="I6" s="57" t="s">
        <v>22</v>
      </c>
      <c r="J6" s="62">
        <v>0.16598652994176216</v>
      </c>
      <c r="K6" s="59" t="s">
        <v>22</v>
      </c>
      <c r="L6" s="63">
        <v>0.14882661448398982</v>
      </c>
      <c r="M6" s="64"/>
      <c r="N6" s="65"/>
      <c r="AH6" s="8"/>
      <c r="AI6" s="8"/>
      <c r="AJ6" s="8"/>
      <c r="AK6" s="8"/>
      <c r="AL6" s="8"/>
      <c r="AM6" s="8"/>
      <c r="AN6" s="8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</row>
    <row r="7" spans="1:66" x14ac:dyDescent="0.3">
      <c r="A7" s="9">
        <v>5</v>
      </c>
      <c r="B7" s="54"/>
      <c r="C7" s="55"/>
      <c r="F7" s="66"/>
      <c r="I7" s="57" t="s">
        <v>23</v>
      </c>
      <c r="J7" s="58">
        <v>0.50081070155017959</v>
      </c>
      <c r="K7" s="59" t="s">
        <v>23</v>
      </c>
      <c r="L7" s="60">
        <v>0.40019025312581391</v>
      </c>
      <c r="M7" s="11"/>
      <c r="N7" s="29"/>
      <c r="AH7" s="8"/>
      <c r="AI7" s="8"/>
      <c r="AJ7" s="8"/>
      <c r="AK7" s="8"/>
      <c r="AL7" s="8"/>
      <c r="AM7" s="8"/>
      <c r="AN7" s="8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</row>
    <row r="8" spans="1:66" ht="16.2" thickBot="1" x14ac:dyDescent="0.35">
      <c r="A8" s="9">
        <v>6</v>
      </c>
      <c r="B8" s="54"/>
      <c r="C8" s="55"/>
      <c r="F8" s="66"/>
      <c r="I8" s="67" t="s">
        <v>24</v>
      </c>
      <c r="J8" s="68">
        <v>-0.54963495662729456</v>
      </c>
      <c r="K8" s="69" t="s">
        <v>24</v>
      </c>
      <c r="L8" s="70">
        <v>-0.46734164154276719</v>
      </c>
      <c r="M8" s="40"/>
      <c r="N8" s="41"/>
      <c r="AH8" s="8"/>
      <c r="AI8" s="8"/>
      <c r="AJ8" s="8"/>
      <c r="AK8" s="8"/>
      <c r="AL8" s="8"/>
      <c r="AM8" s="8"/>
      <c r="AN8" s="8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</row>
    <row r="9" spans="1:66" x14ac:dyDescent="0.3">
      <c r="A9" s="9">
        <v>7</v>
      </c>
      <c r="B9" s="54"/>
      <c r="C9" s="55"/>
      <c r="F9" s="66"/>
      <c r="I9" s="18"/>
      <c r="J9" s="42"/>
      <c r="K9" s="18"/>
      <c r="L9" s="18"/>
      <c r="M9" s="18"/>
      <c r="N9" s="18"/>
      <c r="AH9" s="8"/>
      <c r="AI9" s="8"/>
      <c r="AJ9" s="8"/>
      <c r="AK9" s="8"/>
      <c r="AL9" s="8"/>
      <c r="AM9" s="8"/>
      <c r="AN9" s="8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</row>
    <row r="10" spans="1:66" x14ac:dyDescent="0.3">
      <c r="A10" s="9">
        <v>8</v>
      </c>
      <c r="B10" s="54"/>
      <c r="C10" s="55"/>
      <c r="F10" s="66"/>
      <c r="I10" s="11"/>
      <c r="J10" s="42"/>
      <c r="K10" s="18"/>
      <c r="L10" s="18"/>
      <c r="M10" s="18"/>
      <c r="N10" s="18"/>
      <c r="P10" s="17"/>
      <c r="AH10" s="8"/>
      <c r="AI10" s="8"/>
      <c r="AJ10" s="8"/>
      <c r="AK10" s="8"/>
      <c r="AL10" s="8"/>
      <c r="AM10" s="8"/>
      <c r="AN10" s="8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</row>
    <row r="11" spans="1:66" x14ac:dyDescent="0.3">
      <c r="A11" s="9">
        <v>9</v>
      </c>
      <c r="B11" s="54"/>
      <c r="C11" s="55"/>
      <c r="I11" s="18"/>
      <c r="J11" s="42"/>
      <c r="K11" s="18"/>
      <c r="L11" s="18"/>
      <c r="M11" s="18"/>
      <c r="N11" s="18"/>
      <c r="P11" s="17"/>
      <c r="AH11" s="8"/>
      <c r="AI11" s="8"/>
      <c r="AJ11" s="8"/>
      <c r="AK11" s="8"/>
      <c r="AL11" s="8"/>
      <c r="AM11" s="8"/>
      <c r="AN11" s="8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</row>
    <row r="12" spans="1:66" x14ac:dyDescent="0.3">
      <c r="A12" s="9">
        <v>10</v>
      </c>
      <c r="B12" s="54"/>
      <c r="C12" s="55"/>
      <c r="I12" s="18"/>
      <c r="J12" s="18"/>
      <c r="K12" s="18"/>
      <c r="L12" s="18"/>
      <c r="M12" s="18"/>
      <c r="N12" s="18"/>
      <c r="P12" s="17"/>
      <c r="AH12" s="8"/>
      <c r="AI12" s="8"/>
      <c r="AJ12" s="8"/>
      <c r="AK12" s="8"/>
      <c r="AL12" s="8"/>
      <c r="AM12" s="8"/>
      <c r="AN12" s="8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</row>
    <row r="13" spans="1:66" x14ac:dyDescent="0.3">
      <c r="A13" s="9">
        <v>11</v>
      </c>
      <c r="B13" s="54"/>
      <c r="C13" s="55"/>
      <c r="I13" s="18"/>
      <c r="J13" s="18"/>
      <c r="K13" s="18"/>
      <c r="L13" s="18"/>
      <c r="M13" s="18"/>
      <c r="N13" s="18"/>
      <c r="AH13" s="8"/>
      <c r="AI13" s="8"/>
      <c r="AJ13" s="8"/>
      <c r="AK13" s="8"/>
      <c r="AL13" s="8"/>
      <c r="AM13" s="8"/>
      <c r="AN13" s="8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</row>
    <row r="14" spans="1:66" x14ac:dyDescent="0.3">
      <c r="A14" s="9">
        <v>12</v>
      </c>
      <c r="B14" s="54"/>
      <c r="C14" s="55"/>
      <c r="E14" s="43"/>
      <c r="I14" s="18"/>
      <c r="J14" s="18"/>
      <c r="K14" s="18"/>
      <c r="L14" s="18"/>
      <c r="M14" s="18"/>
      <c r="N14" s="18"/>
      <c r="AH14" s="8"/>
      <c r="AI14" s="8"/>
      <c r="AJ14" s="8"/>
      <c r="AK14" s="8"/>
      <c r="AL14" s="8"/>
      <c r="AM14" s="8"/>
      <c r="AN14" s="8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</row>
    <row r="15" spans="1:66" x14ac:dyDescent="0.3">
      <c r="A15" s="9">
        <v>13</v>
      </c>
      <c r="B15" s="54"/>
      <c r="C15" s="55"/>
      <c r="E15" s="43"/>
      <c r="I15" s="18"/>
      <c r="J15" s="18"/>
      <c r="K15" s="18"/>
      <c r="L15" s="18"/>
      <c r="M15" s="18"/>
      <c r="N15" s="18"/>
      <c r="AH15" s="8"/>
      <c r="AI15" s="8"/>
      <c r="AJ15" s="8"/>
      <c r="AK15" s="8"/>
      <c r="AL15" s="8"/>
      <c r="AM15" s="8"/>
      <c r="AN15" s="8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</row>
    <row r="16" spans="1:66" x14ac:dyDescent="0.3">
      <c r="A16" s="9">
        <v>14</v>
      </c>
      <c r="B16" s="54"/>
      <c r="C16" s="55"/>
      <c r="E16" s="43"/>
      <c r="I16" s="18"/>
      <c r="J16" s="18"/>
      <c r="K16" s="18"/>
      <c r="L16" s="18"/>
      <c r="M16" s="18"/>
      <c r="N16" s="18"/>
      <c r="AH16" s="8"/>
      <c r="AI16" s="8"/>
      <c r="AJ16" s="8"/>
      <c r="AK16" s="8"/>
      <c r="AL16" s="8"/>
      <c r="AM16" s="8"/>
      <c r="AN16" s="8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</row>
    <row r="17" spans="1:66" x14ac:dyDescent="0.3">
      <c r="A17" s="9">
        <v>15</v>
      </c>
      <c r="B17" s="54"/>
      <c r="C17" s="55"/>
      <c r="I17" s="18"/>
      <c r="J17" s="18"/>
      <c r="K17" s="18"/>
      <c r="L17" s="18"/>
      <c r="M17" s="18"/>
      <c r="N17" s="18"/>
      <c r="AH17" s="8"/>
      <c r="AI17" s="8"/>
      <c r="AJ17" s="8"/>
      <c r="AK17" s="8"/>
      <c r="AL17" s="8"/>
      <c r="AM17" s="8"/>
      <c r="AN17" s="8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</row>
    <row r="18" spans="1:66" x14ac:dyDescent="0.3">
      <c r="A18" s="9">
        <v>16</v>
      </c>
      <c r="B18" s="54"/>
      <c r="C18" s="55"/>
      <c r="I18" s="18"/>
      <c r="J18" s="18"/>
      <c r="K18" s="18"/>
      <c r="L18" s="18"/>
      <c r="M18" s="18"/>
      <c r="N18" s="18"/>
      <c r="AH18" s="8"/>
      <c r="AI18" s="8"/>
      <c r="AJ18" s="8"/>
      <c r="AK18" s="8"/>
      <c r="AL18" s="8"/>
      <c r="AM18" s="8"/>
      <c r="AN18" s="8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</row>
    <row r="19" spans="1:66" x14ac:dyDescent="0.3">
      <c r="A19" s="9">
        <v>17</v>
      </c>
      <c r="B19" s="54"/>
      <c r="C19" s="55"/>
      <c r="F19" s="71">
        <v>1</v>
      </c>
      <c r="I19" s="18"/>
      <c r="J19" s="18"/>
      <c r="K19" s="18"/>
      <c r="L19" s="18"/>
      <c r="M19" s="18"/>
      <c r="N19" s="18"/>
      <c r="AH19" s="8"/>
      <c r="AI19" s="8"/>
      <c r="AJ19" s="8"/>
      <c r="AK19" s="8"/>
      <c r="AL19" s="8"/>
      <c r="AM19" s="8"/>
      <c r="AN19" s="8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</row>
    <row r="20" spans="1:66" x14ac:dyDescent="0.3">
      <c r="A20" s="9">
        <v>18</v>
      </c>
      <c r="B20" s="54"/>
      <c r="C20" s="55"/>
      <c r="I20" s="18"/>
      <c r="J20" s="18"/>
      <c r="K20" s="18"/>
      <c r="L20" s="18"/>
      <c r="M20" s="18"/>
      <c r="N20" s="18"/>
      <c r="AH20" s="8"/>
      <c r="AI20" s="8"/>
      <c r="AJ20" s="8"/>
      <c r="AK20" s="8"/>
      <c r="AL20" s="8"/>
      <c r="AM20" s="8"/>
      <c r="AN20" s="8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</row>
    <row r="21" spans="1:66" x14ac:dyDescent="0.3">
      <c r="A21" s="9">
        <v>19</v>
      </c>
      <c r="B21" s="54"/>
      <c r="C21" s="55"/>
      <c r="I21" s="18"/>
      <c r="J21" s="18"/>
      <c r="K21" s="18"/>
      <c r="L21" s="18"/>
      <c r="M21" s="18"/>
      <c r="N21" s="18"/>
      <c r="AH21" s="8"/>
      <c r="AI21" s="8"/>
      <c r="AJ21" s="8"/>
      <c r="AK21" s="8"/>
      <c r="AL21" s="8"/>
      <c r="AM21" s="8"/>
      <c r="AN21" s="8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</row>
    <row r="22" spans="1:66" x14ac:dyDescent="0.3">
      <c r="A22" s="9">
        <v>20</v>
      </c>
      <c r="B22" s="54"/>
      <c r="C22" s="55"/>
      <c r="I22" s="18"/>
      <c r="J22" s="18"/>
      <c r="K22" s="18"/>
      <c r="L22" s="18"/>
      <c r="M22" s="18"/>
      <c r="N22" s="18"/>
      <c r="AH22" s="8"/>
      <c r="AI22" s="8"/>
      <c r="AJ22" s="8"/>
      <c r="AK22" s="8"/>
      <c r="AL22" s="8"/>
      <c r="AM22" s="8"/>
      <c r="AN22" s="8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</row>
    <row r="23" spans="1:66" x14ac:dyDescent="0.3">
      <c r="A23" s="9">
        <v>21</v>
      </c>
      <c r="B23" s="54"/>
      <c r="C23" s="55"/>
      <c r="AH23" s="8"/>
      <c r="AI23" s="8"/>
      <c r="AJ23" s="8"/>
      <c r="AK23" s="8"/>
      <c r="AL23" s="8"/>
      <c r="AM23" s="8"/>
      <c r="AN23" s="8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</row>
    <row r="24" spans="1:66" x14ac:dyDescent="0.3">
      <c r="A24" s="9">
        <v>22</v>
      </c>
      <c r="B24" s="54"/>
      <c r="C24" s="55"/>
      <c r="I24" s="72"/>
      <c r="AH24" s="8"/>
      <c r="AI24" s="8"/>
      <c r="AJ24" s="8"/>
      <c r="AK24" s="8"/>
      <c r="AL24" s="8"/>
      <c r="AM24" s="8"/>
      <c r="AN24" s="8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</row>
    <row r="25" spans="1:66" x14ac:dyDescent="0.3">
      <c r="A25" s="9">
        <v>23</v>
      </c>
      <c r="B25" s="54"/>
      <c r="C25" s="55"/>
      <c r="AH25" s="8"/>
      <c r="AI25" s="8"/>
      <c r="AJ25" s="8"/>
      <c r="AK25" s="8"/>
      <c r="AL25" s="8"/>
      <c r="AM25" s="8"/>
      <c r="AN25" s="8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</row>
    <row r="26" spans="1:66" x14ac:dyDescent="0.3">
      <c r="A26" s="9">
        <v>24</v>
      </c>
      <c r="B26" s="54"/>
      <c r="C26" s="55"/>
      <c r="AH26" s="8"/>
      <c r="AI26" s="8"/>
      <c r="AJ26" s="8"/>
      <c r="AK26" s="8"/>
      <c r="AL26" s="8"/>
      <c r="AM26" s="8"/>
      <c r="AN26" s="8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</row>
    <row r="27" spans="1:66" x14ac:dyDescent="0.3">
      <c r="A27" s="9">
        <v>25</v>
      </c>
      <c r="B27" s="54"/>
      <c r="C27" s="55"/>
      <c r="AH27" s="8"/>
      <c r="AI27" s="8"/>
      <c r="AJ27" s="8"/>
      <c r="AK27" s="8"/>
      <c r="AL27" s="8"/>
      <c r="AM27" s="8"/>
      <c r="AN27" s="8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</row>
    <row r="28" spans="1:66" x14ac:dyDescent="0.3">
      <c r="A28" s="9">
        <v>26</v>
      </c>
      <c r="B28" s="54"/>
      <c r="C28" s="55"/>
      <c r="AH28" s="8"/>
      <c r="AI28" s="8"/>
      <c r="AJ28" s="8"/>
      <c r="AK28" s="8"/>
      <c r="AL28" s="8"/>
      <c r="AM28" s="8"/>
      <c r="AN28" s="8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</row>
    <row r="29" spans="1:66" x14ac:dyDescent="0.3">
      <c r="A29" s="9">
        <v>27</v>
      </c>
      <c r="B29" s="54"/>
      <c r="C29" s="55"/>
      <c r="AH29" s="8"/>
      <c r="AI29" s="8"/>
      <c r="AJ29" s="8"/>
      <c r="AK29" s="8"/>
      <c r="AL29" s="8"/>
      <c r="AM29" s="8"/>
      <c r="AN29" s="8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</row>
    <row r="30" spans="1:66" x14ac:dyDescent="0.3">
      <c r="A30" s="9">
        <v>28</v>
      </c>
      <c r="B30" s="54"/>
      <c r="C30" s="55"/>
      <c r="AH30" s="8"/>
      <c r="AI30" s="8"/>
      <c r="AJ30" s="8"/>
      <c r="AK30" s="8"/>
      <c r="AL30" s="8"/>
      <c r="AM30" s="8"/>
      <c r="AN30" s="8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</row>
    <row r="31" spans="1:66" x14ac:dyDescent="0.3">
      <c r="A31" s="9">
        <v>29</v>
      </c>
      <c r="B31" s="54"/>
      <c r="C31" s="55"/>
      <c r="AH31" s="8"/>
      <c r="AI31" s="8"/>
      <c r="AJ31" s="8"/>
      <c r="AK31" s="8"/>
      <c r="AL31" s="8"/>
      <c r="AM31" s="8"/>
      <c r="AN31" s="8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</row>
    <row r="32" spans="1:66" x14ac:dyDescent="0.3">
      <c r="A32" s="9">
        <v>30</v>
      </c>
      <c r="B32" s="54"/>
      <c r="C32" s="55"/>
      <c r="AH32" s="8"/>
      <c r="AI32" s="8"/>
      <c r="AJ32" s="8"/>
      <c r="AK32" s="8"/>
      <c r="AL32" s="8"/>
      <c r="AM32" s="8"/>
      <c r="AN32" s="8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</row>
    <row r="33" spans="1:66" x14ac:dyDescent="0.3">
      <c r="A33" s="9">
        <v>31</v>
      </c>
      <c r="B33" s="54"/>
      <c r="C33" s="55"/>
      <c r="AH33" s="8"/>
      <c r="AI33" s="8"/>
      <c r="AJ33" s="8"/>
      <c r="AK33" s="8"/>
      <c r="AL33" s="8"/>
      <c r="AM33" s="8"/>
      <c r="AN33" s="8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</row>
    <row r="34" spans="1:66" x14ac:dyDescent="0.3">
      <c r="A34" s="9">
        <v>32</v>
      </c>
      <c r="B34" s="54"/>
      <c r="C34" s="55"/>
      <c r="AH34" s="8"/>
      <c r="AI34" s="8"/>
      <c r="AJ34" s="8"/>
      <c r="AK34" s="8"/>
      <c r="AL34" s="8"/>
      <c r="AM34" s="8"/>
      <c r="AN34" s="8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</row>
    <row r="35" spans="1:66" x14ac:dyDescent="0.3">
      <c r="A35" s="9">
        <v>33</v>
      </c>
      <c r="B35" s="54"/>
      <c r="C35" s="55"/>
      <c r="AH35" s="8"/>
      <c r="AI35" s="8"/>
      <c r="AJ35" s="8"/>
      <c r="AK35" s="8"/>
      <c r="AL35" s="8"/>
      <c r="AM35" s="8"/>
      <c r="AN35" s="8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</row>
    <row r="36" spans="1:66" x14ac:dyDescent="0.3">
      <c r="A36" s="9">
        <v>34</v>
      </c>
      <c r="B36" s="54"/>
      <c r="C36" s="55"/>
      <c r="AH36" s="8"/>
      <c r="AI36" s="8"/>
      <c r="AJ36" s="8"/>
      <c r="AK36" s="8"/>
      <c r="AL36" s="8"/>
      <c r="AM36" s="8"/>
      <c r="AN36" s="8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</row>
    <row r="37" spans="1:66" x14ac:dyDescent="0.3">
      <c r="A37" s="9">
        <v>35</v>
      </c>
      <c r="B37" s="54"/>
      <c r="C37" s="55"/>
      <c r="AH37" s="8"/>
      <c r="AI37" s="8"/>
      <c r="AJ37" s="8"/>
      <c r="AK37" s="8"/>
      <c r="AL37" s="8"/>
      <c r="AM37" s="8"/>
      <c r="AN37" s="8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</row>
    <row r="38" spans="1:66" x14ac:dyDescent="0.3">
      <c r="A38" s="9">
        <v>36</v>
      </c>
      <c r="B38" s="54"/>
      <c r="C38" s="55"/>
      <c r="AH38" s="8"/>
      <c r="AI38" s="8"/>
      <c r="AJ38" s="8"/>
      <c r="AK38" s="8"/>
      <c r="AL38" s="8"/>
      <c r="AM38" s="8"/>
      <c r="AN38" s="8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</row>
    <row r="39" spans="1:66" x14ac:dyDescent="0.3">
      <c r="A39" s="9">
        <v>37</v>
      </c>
      <c r="B39" s="54"/>
      <c r="C39" s="55"/>
      <c r="AH39" s="8"/>
      <c r="AI39" s="8"/>
      <c r="AJ39" s="8"/>
      <c r="AK39" s="8"/>
      <c r="AL39" s="8"/>
      <c r="AM39" s="8"/>
      <c r="AN39" s="8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</row>
    <row r="40" spans="1:66" x14ac:dyDescent="0.3">
      <c r="A40" s="9">
        <v>38</v>
      </c>
      <c r="B40" s="54"/>
      <c r="C40" s="55"/>
      <c r="AH40" s="8"/>
      <c r="AI40" s="8"/>
      <c r="AJ40" s="8"/>
      <c r="AK40" s="8"/>
      <c r="AL40" s="8"/>
      <c r="AM40" s="8"/>
      <c r="AN40" s="8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</row>
    <row r="41" spans="1:66" x14ac:dyDescent="0.3">
      <c r="A41" s="9">
        <v>39</v>
      </c>
      <c r="B41" s="54"/>
      <c r="C41" s="55"/>
      <c r="AH41" s="8"/>
      <c r="AI41" s="8"/>
      <c r="AJ41" s="8"/>
      <c r="AK41" s="8"/>
      <c r="AL41" s="8"/>
      <c r="AM41" s="8"/>
      <c r="AN41" s="8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</row>
    <row r="42" spans="1:66" x14ac:dyDescent="0.3">
      <c r="A42" s="9">
        <v>40</v>
      </c>
      <c r="B42" s="54"/>
      <c r="C42" s="55"/>
      <c r="AH42" s="8"/>
      <c r="AI42" s="8"/>
      <c r="AJ42" s="8"/>
      <c r="AK42" s="8"/>
      <c r="AL42" s="8"/>
      <c r="AM42" s="8"/>
      <c r="AN42" s="8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</row>
    <row r="43" spans="1:66" x14ac:dyDescent="0.3">
      <c r="A43" s="9">
        <v>41</v>
      </c>
      <c r="B43" s="54"/>
      <c r="C43" s="55"/>
      <c r="AH43" s="8"/>
      <c r="AI43" s="8"/>
      <c r="AJ43" s="8"/>
      <c r="AK43" s="8"/>
      <c r="AL43" s="8"/>
      <c r="AM43" s="8"/>
      <c r="AN43" s="8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</row>
    <row r="44" spans="1:66" x14ac:dyDescent="0.3">
      <c r="A44" s="9">
        <v>42</v>
      </c>
      <c r="B44" s="54"/>
      <c r="C44" s="55"/>
      <c r="AH44" s="8"/>
      <c r="AI44" s="8"/>
      <c r="AJ44" s="8"/>
      <c r="AK44" s="8"/>
      <c r="AL44" s="8"/>
      <c r="AM44" s="8"/>
      <c r="AN44" s="8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</row>
    <row r="45" spans="1:66" x14ac:dyDescent="0.3">
      <c r="A45" s="9">
        <v>43</v>
      </c>
      <c r="B45" s="54"/>
      <c r="C45" s="55"/>
      <c r="AH45" s="8"/>
      <c r="AI45" s="8"/>
      <c r="AJ45" s="8"/>
      <c r="AK45" s="8"/>
      <c r="AL45" s="8"/>
      <c r="AM45" s="8"/>
      <c r="AN45" s="8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</row>
    <row r="46" spans="1:66" x14ac:dyDescent="0.3">
      <c r="A46" s="9">
        <v>44</v>
      </c>
      <c r="B46" s="54"/>
      <c r="C46" s="55"/>
      <c r="I46" s="72"/>
      <c r="AH46" s="8"/>
      <c r="AI46" s="8"/>
      <c r="AJ46" s="8"/>
      <c r="AK46" s="8"/>
      <c r="AL46" s="8"/>
      <c r="AM46" s="8"/>
      <c r="AN46" s="8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</row>
    <row r="47" spans="1:66" x14ac:dyDescent="0.3">
      <c r="A47" s="9">
        <v>45</v>
      </c>
      <c r="B47" s="54"/>
      <c r="C47" s="55"/>
      <c r="AH47" s="8"/>
      <c r="AI47" s="8"/>
      <c r="AJ47" s="8"/>
      <c r="AK47" s="8"/>
      <c r="AL47" s="8"/>
      <c r="AM47" s="8"/>
      <c r="AN47" s="8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</row>
    <row r="48" spans="1:66" x14ac:dyDescent="0.3">
      <c r="A48" s="9">
        <v>46</v>
      </c>
      <c r="B48" s="54"/>
      <c r="C48" s="55"/>
      <c r="AH48" s="8"/>
      <c r="AI48" s="8"/>
      <c r="AJ48" s="8"/>
      <c r="AK48" s="8"/>
      <c r="AL48" s="8"/>
      <c r="AM48" s="8"/>
      <c r="AN48" s="8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</row>
    <row r="49" spans="1:66" x14ac:dyDescent="0.3">
      <c r="A49" s="9">
        <v>47</v>
      </c>
      <c r="B49" s="54"/>
      <c r="C49" s="55"/>
      <c r="AH49" s="8"/>
      <c r="AI49" s="8"/>
      <c r="AJ49" s="8"/>
      <c r="AK49" s="8"/>
      <c r="AL49" s="8"/>
      <c r="AM49" s="8"/>
      <c r="AN49" s="8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</row>
    <row r="50" spans="1:66" x14ac:dyDescent="0.3">
      <c r="A50" s="9">
        <v>48</v>
      </c>
      <c r="B50" s="54"/>
      <c r="C50" s="55"/>
      <c r="AH50" s="8"/>
      <c r="AI50" s="8"/>
      <c r="AJ50" s="8"/>
      <c r="AK50" s="8"/>
      <c r="AL50" s="8"/>
      <c r="AM50" s="8"/>
      <c r="AN50" s="8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</row>
    <row r="51" spans="1:66" x14ac:dyDescent="0.3">
      <c r="A51" s="9">
        <v>49</v>
      </c>
      <c r="B51" s="54"/>
      <c r="C51" s="55"/>
      <c r="AH51" s="8"/>
      <c r="AI51" s="8"/>
      <c r="AJ51" s="8"/>
      <c r="AK51" s="8"/>
      <c r="AL51" s="8"/>
      <c r="AM51" s="8"/>
      <c r="AN51" s="8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</row>
    <row r="52" spans="1:66" x14ac:dyDescent="0.3">
      <c r="A52" s="9">
        <v>50</v>
      </c>
      <c r="B52" s="54"/>
      <c r="C52" s="55"/>
      <c r="AH52" s="8"/>
      <c r="AI52" s="8"/>
      <c r="AJ52" s="8"/>
      <c r="AK52" s="8"/>
      <c r="AL52" s="8"/>
      <c r="AM52" s="8"/>
      <c r="AN52" s="8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</row>
    <row r="53" spans="1:66" x14ac:dyDescent="0.3">
      <c r="A53" s="9">
        <v>51</v>
      </c>
      <c r="B53" s="54"/>
      <c r="C53" s="55"/>
      <c r="AH53" s="8"/>
      <c r="AI53" s="8"/>
      <c r="AJ53" s="8"/>
      <c r="AK53" s="8"/>
      <c r="AL53" s="8"/>
      <c r="AM53" s="8"/>
      <c r="AN53" s="8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</row>
    <row r="54" spans="1:66" x14ac:dyDescent="0.3">
      <c r="A54" s="9">
        <v>52</v>
      </c>
      <c r="B54" s="54"/>
      <c r="C54" s="55"/>
      <c r="AH54" s="8"/>
      <c r="AI54" s="8"/>
      <c r="AJ54" s="8"/>
      <c r="AK54" s="8"/>
      <c r="AL54" s="8"/>
      <c r="AM54" s="8"/>
      <c r="AN54" s="8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</row>
    <row r="55" spans="1:66" x14ac:dyDescent="0.3">
      <c r="A55" s="9">
        <v>53</v>
      </c>
      <c r="B55" s="54"/>
      <c r="C55" s="55"/>
      <c r="AH55" s="8"/>
      <c r="AI55" s="8"/>
      <c r="AJ55" s="8"/>
      <c r="AK55" s="8"/>
      <c r="AL55" s="8"/>
      <c r="AM55" s="8"/>
      <c r="AN55" s="8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</row>
    <row r="56" spans="1:66" x14ac:dyDescent="0.3">
      <c r="A56" s="9">
        <v>54</v>
      </c>
      <c r="B56" s="54"/>
      <c r="C56" s="55"/>
      <c r="AH56" s="8"/>
      <c r="AI56" s="8"/>
      <c r="AJ56" s="8"/>
      <c r="AK56" s="8"/>
      <c r="AL56" s="8"/>
      <c r="AM56" s="8"/>
      <c r="AN56" s="8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</row>
    <row r="57" spans="1:66" x14ac:dyDescent="0.3">
      <c r="A57" s="9">
        <v>55</v>
      </c>
      <c r="B57" s="54"/>
      <c r="C57" s="55"/>
      <c r="AH57" s="8"/>
      <c r="AI57" s="8"/>
      <c r="AJ57" s="8"/>
      <c r="AK57" s="8"/>
      <c r="AL57" s="8"/>
      <c r="AM57" s="8"/>
      <c r="AN57" s="8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</row>
    <row r="58" spans="1:66" x14ac:dyDescent="0.3">
      <c r="A58" s="9">
        <v>56</v>
      </c>
      <c r="B58" s="54"/>
      <c r="C58" s="55"/>
      <c r="AH58" s="8"/>
      <c r="AI58" s="8"/>
      <c r="AJ58" s="8"/>
      <c r="AK58" s="8"/>
      <c r="AL58" s="8"/>
      <c r="AM58" s="8"/>
      <c r="AN58" s="8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</row>
    <row r="59" spans="1:66" x14ac:dyDescent="0.3">
      <c r="A59" s="9">
        <v>57</v>
      </c>
      <c r="B59" s="54"/>
      <c r="C59" s="55"/>
      <c r="AH59" s="8"/>
      <c r="AI59" s="8"/>
      <c r="AJ59" s="8"/>
      <c r="AK59" s="8"/>
      <c r="AL59" s="8"/>
      <c r="AM59" s="8"/>
      <c r="AN59" s="8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</row>
    <row r="60" spans="1:66" x14ac:dyDescent="0.3">
      <c r="A60" s="9">
        <v>58</v>
      </c>
      <c r="B60" s="54"/>
      <c r="C60" s="55"/>
      <c r="AH60" s="8"/>
      <c r="AI60" s="8"/>
      <c r="AJ60" s="8"/>
      <c r="AK60" s="8"/>
      <c r="AL60" s="8"/>
      <c r="AM60" s="8"/>
      <c r="AN60" s="8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</row>
    <row r="61" spans="1:66" x14ac:dyDescent="0.3">
      <c r="A61" s="9">
        <v>59</v>
      </c>
      <c r="B61" s="54"/>
      <c r="C61" s="55"/>
      <c r="AH61" s="8"/>
      <c r="AI61" s="8"/>
      <c r="AJ61" s="8"/>
      <c r="AK61" s="8"/>
      <c r="AL61" s="8"/>
      <c r="AM61" s="8"/>
      <c r="AN61" s="8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</row>
    <row r="62" spans="1:66" x14ac:dyDescent="0.3">
      <c r="A62" s="9">
        <v>60</v>
      </c>
      <c r="B62" s="54"/>
      <c r="C62" s="55"/>
      <c r="AH62" s="8"/>
      <c r="AI62" s="8"/>
      <c r="AJ62" s="8"/>
      <c r="AK62" s="8"/>
      <c r="AL62" s="8"/>
      <c r="AM62" s="8"/>
      <c r="AN62" s="8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</row>
    <row r="63" spans="1:66" x14ac:dyDescent="0.3">
      <c r="A63" s="9">
        <v>61</v>
      </c>
      <c r="B63" s="54"/>
      <c r="C63" s="55"/>
      <c r="AH63" s="8"/>
      <c r="AI63" s="8"/>
      <c r="AJ63" s="8"/>
      <c r="AK63" s="8"/>
      <c r="AL63" s="8"/>
      <c r="AM63" s="8"/>
      <c r="AN63" s="8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</row>
    <row r="64" spans="1:66" x14ac:dyDescent="0.3">
      <c r="A64" s="9">
        <v>62</v>
      </c>
      <c r="B64" s="54"/>
      <c r="C64" s="55"/>
      <c r="AH64" s="8"/>
      <c r="AI64" s="8"/>
      <c r="AJ64" s="8"/>
      <c r="AK64" s="8"/>
      <c r="AL64" s="8"/>
      <c r="AM64" s="8"/>
      <c r="AN64" s="8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</row>
    <row r="65" spans="1:66" x14ac:dyDescent="0.3">
      <c r="A65" s="9">
        <v>63</v>
      </c>
      <c r="B65" s="54"/>
      <c r="C65" s="55"/>
      <c r="AH65" s="8"/>
      <c r="AI65" s="8"/>
      <c r="AJ65" s="8"/>
      <c r="AK65" s="8"/>
      <c r="AL65" s="8"/>
      <c r="AM65" s="8"/>
      <c r="AN65" s="8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</row>
    <row r="66" spans="1:66" x14ac:dyDescent="0.3">
      <c r="A66" s="9">
        <v>64</v>
      </c>
      <c r="B66" s="54"/>
      <c r="C66" s="55"/>
      <c r="AH66" s="8"/>
      <c r="AI66" s="8"/>
      <c r="AJ66" s="8"/>
      <c r="AK66" s="8"/>
      <c r="AL66" s="8"/>
      <c r="AM66" s="8"/>
      <c r="AN66" s="8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</row>
    <row r="67" spans="1:66" x14ac:dyDescent="0.3">
      <c r="A67" s="9">
        <v>65</v>
      </c>
      <c r="B67" s="54"/>
      <c r="C67" s="55"/>
      <c r="AH67" s="8"/>
      <c r="AI67" s="8"/>
      <c r="AJ67" s="8"/>
      <c r="AK67" s="8"/>
      <c r="AL67" s="8"/>
      <c r="AM67" s="8"/>
      <c r="AN67" s="8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</row>
    <row r="68" spans="1:66" x14ac:dyDescent="0.3">
      <c r="A68" s="9">
        <v>66</v>
      </c>
      <c r="B68" s="54"/>
      <c r="C68" s="55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</row>
    <row r="69" spans="1:66" x14ac:dyDescent="0.3">
      <c r="A69" s="9">
        <v>67</v>
      </c>
      <c r="B69" s="54"/>
      <c r="C69" s="55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</row>
    <row r="70" spans="1:66" x14ac:dyDescent="0.3">
      <c r="A70" s="9">
        <v>68</v>
      </c>
      <c r="B70" s="54"/>
      <c r="C70" s="55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</row>
    <row r="71" spans="1:66" x14ac:dyDescent="0.3">
      <c r="A71" s="9">
        <v>69</v>
      </c>
      <c r="B71" s="54"/>
      <c r="C71" s="55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</row>
    <row r="72" spans="1:66" x14ac:dyDescent="0.3">
      <c r="A72" s="9">
        <v>70</v>
      </c>
      <c r="B72" s="54"/>
      <c r="C72" s="55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</row>
    <row r="73" spans="1:66" x14ac:dyDescent="0.3">
      <c r="A73" s="9">
        <v>71</v>
      </c>
      <c r="B73" s="54"/>
      <c r="C73" s="55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</row>
    <row r="74" spans="1:66" x14ac:dyDescent="0.3">
      <c r="A74" s="9">
        <v>72</v>
      </c>
      <c r="B74" s="54"/>
      <c r="C74" s="55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</row>
    <row r="75" spans="1:66" x14ac:dyDescent="0.3">
      <c r="A75" s="9">
        <v>73</v>
      </c>
      <c r="B75" s="54"/>
      <c r="C75" s="55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</row>
    <row r="76" spans="1:66" x14ac:dyDescent="0.3">
      <c r="A76" s="9">
        <v>74</v>
      </c>
      <c r="B76" s="54"/>
      <c r="C76" s="55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</row>
    <row r="77" spans="1:66" x14ac:dyDescent="0.3">
      <c r="A77" s="9">
        <v>75</v>
      </c>
      <c r="B77" s="54"/>
      <c r="C77" s="55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</row>
    <row r="78" spans="1:66" x14ac:dyDescent="0.3">
      <c r="A78" s="9">
        <v>76</v>
      </c>
      <c r="B78" s="54"/>
      <c r="C78" s="55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</row>
    <row r="79" spans="1:66" x14ac:dyDescent="0.3">
      <c r="A79" s="9">
        <v>77</v>
      </c>
      <c r="B79" s="54"/>
      <c r="C79" s="55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</row>
    <row r="80" spans="1:66" x14ac:dyDescent="0.3">
      <c r="A80" s="9">
        <v>78</v>
      </c>
      <c r="B80" s="54"/>
      <c r="C80" s="55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</row>
    <row r="81" spans="1:66" x14ac:dyDescent="0.3">
      <c r="A81" s="9">
        <v>79</v>
      </c>
      <c r="B81" s="54"/>
      <c r="C81" s="55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</row>
    <row r="82" spans="1:66" x14ac:dyDescent="0.3">
      <c r="A82" s="9">
        <v>80</v>
      </c>
      <c r="B82" s="54"/>
      <c r="C82" s="55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</row>
    <row r="83" spans="1:66" x14ac:dyDescent="0.3">
      <c r="A83" s="9">
        <v>81</v>
      </c>
      <c r="B83" s="54"/>
      <c r="C83" s="55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</row>
    <row r="84" spans="1:66" x14ac:dyDescent="0.3">
      <c r="A84" s="9">
        <v>82</v>
      </c>
      <c r="B84" s="54"/>
      <c r="C84" s="55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</row>
    <row r="85" spans="1:66" x14ac:dyDescent="0.3">
      <c r="A85" s="9">
        <v>83</v>
      </c>
      <c r="B85" s="54"/>
      <c r="C85" s="55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</row>
    <row r="86" spans="1:66" x14ac:dyDescent="0.3">
      <c r="A86" s="9">
        <v>84</v>
      </c>
      <c r="B86" s="54"/>
      <c r="C86" s="55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</row>
    <row r="87" spans="1:66" x14ac:dyDescent="0.3">
      <c r="A87" s="9">
        <v>85</v>
      </c>
      <c r="B87" s="54"/>
      <c r="C87" s="55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</row>
    <row r="88" spans="1:66" x14ac:dyDescent="0.3">
      <c r="A88" s="9">
        <v>86</v>
      </c>
      <c r="B88" s="54"/>
      <c r="C88" s="55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</row>
    <row r="89" spans="1:66" x14ac:dyDescent="0.3">
      <c r="A89" s="9">
        <v>87</v>
      </c>
      <c r="B89" s="54"/>
      <c r="C89" s="55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</row>
    <row r="90" spans="1:66" x14ac:dyDescent="0.3">
      <c r="A90" s="9">
        <v>88</v>
      </c>
      <c r="B90" s="54"/>
      <c r="C90" s="55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</row>
    <row r="91" spans="1:66" x14ac:dyDescent="0.3">
      <c r="A91" s="9">
        <v>89</v>
      </c>
      <c r="B91" s="54"/>
      <c r="C91" s="55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</row>
    <row r="92" spans="1:66" x14ac:dyDescent="0.3">
      <c r="A92" s="9">
        <v>90</v>
      </c>
      <c r="B92" s="54"/>
      <c r="C92" s="55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</row>
    <row r="93" spans="1:66" x14ac:dyDescent="0.3">
      <c r="A93" s="9">
        <v>91</v>
      </c>
      <c r="B93" s="54"/>
      <c r="C93" s="55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</row>
    <row r="94" spans="1:66" x14ac:dyDescent="0.3">
      <c r="A94" s="9">
        <v>92</v>
      </c>
      <c r="B94" s="54"/>
      <c r="C94" s="55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</row>
    <row r="95" spans="1:66" x14ac:dyDescent="0.3">
      <c r="A95" s="9">
        <v>93</v>
      </c>
      <c r="B95" s="54"/>
      <c r="C95" s="55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</row>
    <row r="96" spans="1:66" x14ac:dyDescent="0.3">
      <c r="A96" s="9">
        <v>94</v>
      </c>
      <c r="B96" s="54"/>
      <c r="C96" s="55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</row>
    <row r="97" spans="1:66" x14ac:dyDescent="0.3">
      <c r="A97" s="9">
        <v>95</v>
      </c>
      <c r="B97" s="54"/>
      <c r="C97" s="55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</row>
    <row r="98" spans="1:66" x14ac:dyDescent="0.3">
      <c r="A98" s="9">
        <v>96</v>
      </c>
      <c r="B98" s="54"/>
      <c r="C98" s="55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</row>
    <row r="99" spans="1:66" x14ac:dyDescent="0.3">
      <c r="A99" s="9">
        <v>97</v>
      </c>
      <c r="B99" s="54"/>
      <c r="C99" s="55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</row>
    <row r="100" spans="1:66" x14ac:dyDescent="0.3">
      <c r="A100" s="9">
        <v>98</v>
      </c>
      <c r="B100" s="54"/>
      <c r="C100" s="55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</row>
    <row r="101" spans="1:66" x14ac:dyDescent="0.3">
      <c r="A101" s="9">
        <v>99</v>
      </c>
      <c r="B101" s="54"/>
      <c r="C101" s="55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</row>
    <row r="102" spans="1:66" x14ac:dyDescent="0.3">
      <c r="A102" s="9">
        <v>100</v>
      </c>
      <c r="B102" s="54"/>
      <c r="C102" s="55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</row>
    <row r="103" spans="1:66" x14ac:dyDescent="0.3">
      <c r="A103" s="44" t="s">
        <v>25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69D2F-43F1-4EAB-B77D-47607A430FEC}">
  <sheetPr codeName="Sheet1"/>
  <dimension ref="A1:A3"/>
  <sheetViews>
    <sheetView showGridLines="0" tabSelected="1" workbookViewId="0">
      <selection activeCell="A2" sqref="A2"/>
    </sheetView>
  </sheetViews>
  <sheetFormatPr defaultRowHeight="14.4" x14ac:dyDescent="0.3"/>
  <sheetData>
    <row r="1" spans="1:1" x14ac:dyDescent="0.3">
      <c r="A1" s="46" t="s">
        <v>77</v>
      </c>
    </row>
    <row r="3" spans="1:1" x14ac:dyDescent="0.3">
      <c r="A3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AI107"/>
  <sheetViews>
    <sheetView zoomScale="90" zoomScaleNormal="90" workbookViewId="0">
      <pane ySplit="7" topLeftCell="A8" activePane="bottomLeft" state="frozen"/>
      <selection pane="bottomLeft" activeCell="A2" sqref="A2"/>
    </sheetView>
  </sheetViews>
  <sheetFormatPr defaultRowHeight="14.4" x14ac:dyDescent="0.3"/>
  <cols>
    <col min="1" max="1" width="11.33203125" customWidth="1"/>
    <col min="4" max="4" width="8.6640625" customWidth="1"/>
    <col min="5" max="6" width="11.6640625" customWidth="1"/>
    <col min="7" max="7" width="11.33203125" hidden="1" customWidth="1"/>
    <col min="8" max="8" width="9.33203125" hidden="1" customWidth="1"/>
    <col min="9" max="9" width="14.6640625" hidden="1" customWidth="1"/>
    <col min="10" max="10" width="10.6640625" hidden="1" customWidth="1"/>
    <col min="11" max="12" width="9.33203125" hidden="1" customWidth="1"/>
    <col min="13" max="13" width="12" hidden="1" customWidth="1"/>
    <col min="14" max="14" width="9.33203125" hidden="1" customWidth="1"/>
    <col min="15" max="15" width="12.33203125" style="80" hidden="1" customWidth="1"/>
    <col min="16" max="16" width="9.33203125" hidden="1" customWidth="1"/>
    <col min="17" max="17" width="14.6640625" hidden="1" customWidth="1"/>
    <col min="18" max="21" width="9.33203125" hidden="1" customWidth="1"/>
    <col min="22" max="22" width="12.33203125" hidden="1" customWidth="1"/>
    <col min="23" max="35" width="9.33203125" hidden="1" customWidth="1"/>
    <col min="37" max="37" width="9.33203125" customWidth="1"/>
  </cols>
  <sheetData>
    <row r="1" spans="1:27" x14ac:dyDescent="0.3">
      <c r="A1" s="46" t="s">
        <v>73</v>
      </c>
      <c r="Z1" s="83">
        <v>1</v>
      </c>
      <c r="AA1" s="83" t="s">
        <v>41</v>
      </c>
    </row>
    <row r="2" spans="1:27" x14ac:dyDescent="0.3">
      <c r="Z2" s="83"/>
      <c r="AA2" s="83" t="s">
        <v>42</v>
      </c>
    </row>
    <row r="3" spans="1:27" x14ac:dyDescent="0.3">
      <c r="A3" t="s">
        <v>14</v>
      </c>
      <c r="G3" t="s">
        <v>8</v>
      </c>
      <c r="Z3" s="83"/>
      <c r="AA3" s="83" t="s">
        <v>43</v>
      </c>
    </row>
    <row r="4" spans="1:27" x14ac:dyDescent="0.3">
      <c r="A4" t="s">
        <v>13</v>
      </c>
      <c r="B4" s="47">
        <v>5.0000000000000001E-3</v>
      </c>
      <c r="C4" t="s">
        <v>12</v>
      </c>
      <c r="G4" t="s">
        <v>11</v>
      </c>
      <c r="J4" t="s">
        <v>10</v>
      </c>
    </row>
    <row r="5" spans="1:27" x14ac:dyDescent="0.3">
      <c r="A5" t="s">
        <v>26</v>
      </c>
      <c r="B5" s="1">
        <f>0.5-B4</f>
        <v>0.495</v>
      </c>
      <c r="G5" t="s">
        <v>26</v>
      </c>
      <c r="H5" s="1">
        <f>0.1-B4</f>
        <v>9.5000000000000001E-2</v>
      </c>
      <c r="J5" t="s">
        <v>26</v>
      </c>
      <c r="K5" s="1">
        <f>0.75-B4</f>
        <v>0.745</v>
      </c>
    </row>
    <row r="6" spans="1:27" x14ac:dyDescent="0.3">
      <c r="N6" s="46" t="s">
        <v>44</v>
      </c>
      <c r="P6" t="s">
        <v>9</v>
      </c>
      <c r="S6" t="s">
        <v>8</v>
      </c>
      <c r="T6" t="s">
        <v>7</v>
      </c>
    </row>
    <row r="7" spans="1:27" s="73" customFormat="1" x14ac:dyDescent="0.3">
      <c r="A7" s="73" t="s">
        <v>5</v>
      </c>
      <c r="B7" s="73" t="s">
        <v>0</v>
      </c>
      <c r="C7" s="73" t="s">
        <v>6</v>
      </c>
      <c r="G7" s="73" t="s">
        <v>5</v>
      </c>
      <c r="H7" s="73" t="s">
        <v>3</v>
      </c>
      <c r="I7" s="73" t="s">
        <v>2</v>
      </c>
      <c r="J7" s="73" t="s">
        <v>1</v>
      </c>
      <c r="K7" s="73" t="s">
        <v>0</v>
      </c>
      <c r="L7" s="73" t="s">
        <v>6</v>
      </c>
      <c r="N7" s="73" t="s">
        <v>5</v>
      </c>
      <c r="O7" s="80" t="s">
        <v>4</v>
      </c>
      <c r="P7" s="73" t="s">
        <v>3</v>
      </c>
      <c r="Q7" s="73" t="s">
        <v>2</v>
      </c>
      <c r="R7" s="73" t="s">
        <v>1</v>
      </c>
      <c r="S7" s="73" t="s">
        <v>0</v>
      </c>
      <c r="T7" s="73" t="s">
        <v>0</v>
      </c>
      <c r="U7" s="75" t="s">
        <v>6</v>
      </c>
    </row>
    <row r="8" spans="1:27" x14ac:dyDescent="0.3">
      <c r="A8">
        <v>1</v>
      </c>
      <c r="B8">
        <f t="shared" ref="B8:B39" ca="1" si="0">IF(RAND()&lt;=$B$5,1,0)</f>
        <v>1</v>
      </c>
      <c r="C8">
        <f ca="1">IF(B8=1,1,-1)</f>
        <v>1</v>
      </c>
      <c r="G8">
        <v>1</v>
      </c>
      <c r="H8" s="47">
        <v>0</v>
      </c>
      <c r="I8">
        <f t="shared" ref="I8:I39" si="1">MOD(H8,3)</f>
        <v>0</v>
      </c>
      <c r="J8">
        <f t="shared" ref="J8:J39" si="2">IF(I8=0,1,2)</f>
        <v>1</v>
      </c>
      <c r="K8">
        <f t="shared" ref="K8:K39" ca="1" si="3">IF(I8=0,IF(RAND()&lt;=$H$5,1,0),IF(RAND()&lt;=$K$5,1,0))</f>
        <v>0</v>
      </c>
      <c r="L8">
        <f ca="1">IF(K8=1,1,-1)</f>
        <v>-1</v>
      </c>
      <c r="N8">
        <v>1</v>
      </c>
      <c r="O8" s="81" t="str">
        <f t="shared" ref="O8:O39" ca="1" si="4">IF(RAND()&lt;=0.5,"A","B")</f>
        <v>B</v>
      </c>
      <c r="P8">
        <v>0</v>
      </c>
      <c r="Q8">
        <f t="shared" ref="Q8:Q39" si="5">MOD(P8,3)</f>
        <v>0</v>
      </c>
      <c r="R8">
        <v>1</v>
      </c>
      <c r="S8">
        <f ca="1">IF(RAND()&lt;=$H$5,1,0)</f>
        <v>0</v>
      </c>
      <c r="T8">
        <f t="shared" ref="T8:T39" ca="1" si="6">IF(O8="A",B8,S8)</f>
        <v>0</v>
      </c>
      <c r="U8">
        <f ca="1">IF(T8=1,1,-1)</f>
        <v>-1</v>
      </c>
    </row>
    <row r="9" spans="1:27" x14ac:dyDescent="0.3">
      <c r="A9">
        <v>2</v>
      </c>
      <c r="B9">
        <f t="shared" ca="1" si="0"/>
        <v>0</v>
      </c>
      <c r="C9">
        <f t="shared" ref="C9:C40" ca="1" si="7">IF(B9=1,1+C8,-1+C8)</f>
        <v>0</v>
      </c>
      <c r="G9">
        <v>2</v>
      </c>
      <c r="H9">
        <f t="shared" ref="H9:H40" ca="1" si="8">L8</f>
        <v>-1</v>
      </c>
      <c r="I9">
        <f t="shared" ca="1" si="1"/>
        <v>2</v>
      </c>
      <c r="J9">
        <f t="shared" ca="1" si="2"/>
        <v>2</v>
      </c>
      <c r="K9">
        <f t="shared" ca="1" si="3"/>
        <v>0</v>
      </c>
      <c r="L9">
        <f t="shared" ref="L9:L40" ca="1" si="9">IF(K9=1,1+L8,-1+L8)</f>
        <v>-2</v>
      </c>
      <c r="N9">
        <v>2</v>
      </c>
      <c r="O9" s="81" t="str">
        <f t="shared" ca="1" si="4"/>
        <v>A</v>
      </c>
      <c r="P9">
        <f t="shared" ref="P9:P40" ca="1" si="10">U8</f>
        <v>-1</v>
      </c>
      <c r="Q9">
        <f t="shared" ca="1" si="5"/>
        <v>2</v>
      </c>
      <c r="R9">
        <f t="shared" ref="R9:R40" ca="1" si="11">IF(Q9=0,1,2)</f>
        <v>2</v>
      </c>
      <c r="S9">
        <f t="shared" ref="S9:S40" ca="1" si="12">IF(Q9=0,IF(RAND()&lt;=$H$5,1,0),IF(RAND()&lt;=$K$5,1,0))</f>
        <v>1</v>
      </c>
      <c r="T9">
        <f t="shared" ca="1" si="6"/>
        <v>0</v>
      </c>
      <c r="U9">
        <f t="shared" ref="U9:U40" ca="1" si="13">IF(T9=1,1+U8,-1+U8)</f>
        <v>-2</v>
      </c>
    </row>
    <row r="10" spans="1:27" x14ac:dyDescent="0.3">
      <c r="A10">
        <v>3</v>
      </c>
      <c r="B10">
        <f t="shared" ca="1" si="0"/>
        <v>1</v>
      </c>
      <c r="C10">
        <f t="shared" ca="1" si="7"/>
        <v>1</v>
      </c>
      <c r="G10">
        <v>3</v>
      </c>
      <c r="H10">
        <f t="shared" ca="1" si="8"/>
        <v>-2</v>
      </c>
      <c r="I10">
        <f t="shared" ca="1" si="1"/>
        <v>1</v>
      </c>
      <c r="J10">
        <f t="shared" ca="1" si="2"/>
        <v>2</v>
      </c>
      <c r="K10">
        <f t="shared" ca="1" si="3"/>
        <v>0</v>
      </c>
      <c r="L10">
        <f t="shared" ca="1" si="9"/>
        <v>-3</v>
      </c>
      <c r="N10">
        <v>3</v>
      </c>
      <c r="O10" s="81" t="str">
        <f t="shared" ca="1" si="4"/>
        <v>A</v>
      </c>
      <c r="P10">
        <f t="shared" ca="1" si="10"/>
        <v>-2</v>
      </c>
      <c r="Q10">
        <f t="shared" ca="1" si="5"/>
        <v>1</v>
      </c>
      <c r="R10">
        <f t="shared" ca="1" si="11"/>
        <v>2</v>
      </c>
      <c r="S10">
        <f t="shared" ca="1" si="12"/>
        <v>1</v>
      </c>
      <c r="T10">
        <f t="shared" ca="1" si="6"/>
        <v>1</v>
      </c>
      <c r="U10">
        <f t="shared" ca="1" si="13"/>
        <v>-1</v>
      </c>
    </row>
    <row r="11" spans="1:27" x14ac:dyDescent="0.3">
      <c r="A11">
        <v>4</v>
      </c>
      <c r="B11">
        <f t="shared" ca="1" si="0"/>
        <v>1</v>
      </c>
      <c r="C11">
        <f t="shared" ca="1" si="7"/>
        <v>2</v>
      </c>
      <c r="G11">
        <v>4</v>
      </c>
      <c r="H11">
        <f t="shared" ca="1" si="8"/>
        <v>-3</v>
      </c>
      <c r="I11">
        <f t="shared" ca="1" si="1"/>
        <v>0</v>
      </c>
      <c r="J11">
        <f t="shared" ca="1" si="2"/>
        <v>1</v>
      </c>
      <c r="K11">
        <f t="shared" ca="1" si="3"/>
        <v>0</v>
      </c>
      <c r="L11">
        <f t="shared" ca="1" si="9"/>
        <v>-4</v>
      </c>
      <c r="N11">
        <v>4</v>
      </c>
      <c r="O11" s="81" t="str">
        <f t="shared" ca="1" si="4"/>
        <v>A</v>
      </c>
      <c r="P11">
        <f t="shared" ca="1" si="10"/>
        <v>-1</v>
      </c>
      <c r="Q11">
        <f t="shared" ca="1" si="5"/>
        <v>2</v>
      </c>
      <c r="R11">
        <f t="shared" ca="1" si="11"/>
        <v>2</v>
      </c>
      <c r="S11">
        <f t="shared" ca="1" si="12"/>
        <v>0</v>
      </c>
      <c r="T11">
        <f t="shared" ca="1" si="6"/>
        <v>1</v>
      </c>
      <c r="U11">
        <f t="shared" ca="1" si="13"/>
        <v>0</v>
      </c>
    </row>
    <row r="12" spans="1:27" x14ac:dyDescent="0.3">
      <c r="A12">
        <v>5</v>
      </c>
      <c r="B12">
        <f t="shared" ca="1" si="0"/>
        <v>0</v>
      </c>
      <c r="C12">
        <f t="shared" ca="1" si="7"/>
        <v>1</v>
      </c>
      <c r="G12">
        <v>5</v>
      </c>
      <c r="H12">
        <f t="shared" ca="1" si="8"/>
        <v>-4</v>
      </c>
      <c r="I12">
        <f t="shared" ca="1" si="1"/>
        <v>2</v>
      </c>
      <c r="J12">
        <f t="shared" ca="1" si="2"/>
        <v>2</v>
      </c>
      <c r="K12">
        <f t="shared" ca="1" si="3"/>
        <v>1</v>
      </c>
      <c r="L12">
        <f t="shared" ca="1" si="9"/>
        <v>-3</v>
      </c>
      <c r="N12">
        <v>5</v>
      </c>
      <c r="O12" s="81" t="str">
        <f t="shared" ca="1" si="4"/>
        <v>B</v>
      </c>
      <c r="P12">
        <f t="shared" ca="1" si="10"/>
        <v>0</v>
      </c>
      <c r="Q12">
        <f t="shared" ca="1" si="5"/>
        <v>0</v>
      </c>
      <c r="R12">
        <f t="shared" ca="1" si="11"/>
        <v>1</v>
      </c>
      <c r="S12">
        <f t="shared" ca="1" si="12"/>
        <v>0</v>
      </c>
      <c r="T12">
        <f t="shared" ca="1" si="6"/>
        <v>0</v>
      </c>
      <c r="U12">
        <f t="shared" ca="1" si="13"/>
        <v>-1</v>
      </c>
    </row>
    <row r="13" spans="1:27" x14ac:dyDescent="0.3">
      <c r="A13">
        <v>6</v>
      </c>
      <c r="B13">
        <f t="shared" ca="1" si="0"/>
        <v>1</v>
      </c>
      <c r="C13">
        <f t="shared" ca="1" si="7"/>
        <v>2</v>
      </c>
      <c r="G13">
        <v>6</v>
      </c>
      <c r="H13">
        <f t="shared" ca="1" si="8"/>
        <v>-3</v>
      </c>
      <c r="I13">
        <f t="shared" ca="1" si="1"/>
        <v>0</v>
      </c>
      <c r="J13">
        <f t="shared" ca="1" si="2"/>
        <v>1</v>
      </c>
      <c r="K13">
        <f t="shared" ca="1" si="3"/>
        <v>0</v>
      </c>
      <c r="L13">
        <f t="shared" ca="1" si="9"/>
        <v>-4</v>
      </c>
      <c r="N13">
        <v>6</v>
      </c>
      <c r="O13" s="81" t="str">
        <f t="shared" ca="1" si="4"/>
        <v>B</v>
      </c>
      <c r="P13">
        <f t="shared" ca="1" si="10"/>
        <v>-1</v>
      </c>
      <c r="Q13">
        <f t="shared" ca="1" si="5"/>
        <v>2</v>
      </c>
      <c r="R13">
        <f t="shared" ca="1" si="11"/>
        <v>2</v>
      </c>
      <c r="S13">
        <f t="shared" ca="1" si="12"/>
        <v>0</v>
      </c>
      <c r="T13">
        <f t="shared" ca="1" si="6"/>
        <v>0</v>
      </c>
      <c r="U13">
        <f t="shared" ca="1" si="13"/>
        <v>-2</v>
      </c>
    </row>
    <row r="14" spans="1:27" x14ac:dyDescent="0.3">
      <c r="A14">
        <v>7</v>
      </c>
      <c r="B14">
        <f t="shared" ca="1" si="0"/>
        <v>0</v>
      </c>
      <c r="C14">
        <f t="shared" ca="1" si="7"/>
        <v>1</v>
      </c>
      <c r="G14">
        <v>7</v>
      </c>
      <c r="H14">
        <f t="shared" ca="1" si="8"/>
        <v>-4</v>
      </c>
      <c r="I14">
        <f t="shared" ca="1" si="1"/>
        <v>2</v>
      </c>
      <c r="J14">
        <f t="shared" ca="1" si="2"/>
        <v>2</v>
      </c>
      <c r="K14">
        <f t="shared" ca="1" si="3"/>
        <v>1</v>
      </c>
      <c r="L14">
        <f t="shared" ca="1" si="9"/>
        <v>-3</v>
      </c>
      <c r="N14">
        <v>7</v>
      </c>
      <c r="O14" s="81" t="str">
        <f t="shared" ca="1" si="4"/>
        <v>B</v>
      </c>
      <c r="P14">
        <f t="shared" ca="1" si="10"/>
        <v>-2</v>
      </c>
      <c r="Q14">
        <f t="shared" ca="1" si="5"/>
        <v>1</v>
      </c>
      <c r="R14">
        <f t="shared" ca="1" si="11"/>
        <v>2</v>
      </c>
      <c r="S14">
        <f t="shared" ca="1" si="12"/>
        <v>0</v>
      </c>
      <c r="T14">
        <f t="shared" ca="1" si="6"/>
        <v>0</v>
      </c>
      <c r="U14">
        <f t="shared" ca="1" si="13"/>
        <v>-3</v>
      </c>
    </row>
    <row r="15" spans="1:27" x14ac:dyDescent="0.3">
      <c r="A15">
        <v>8</v>
      </c>
      <c r="B15">
        <f t="shared" ca="1" si="0"/>
        <v>1</v>
      </c>
      <c r="C15">
        <f t="shared" ca="1" si="7"/>
        <v>2</v>
      </c>
      <c r="G15">
        <v>8</v>
      </c>
      <c r="H15">
        <f t="shared" ca="1" si="8"/>
        <v>-3</v>
      </c>
      <c r="I15">
        <f t="shared" ca="1" si="1"/>
        <v>0</v>
      </c>
      <c r="J15">
        <f t="shared" ca="1" si="2"/>
        <v>1</v>
      </c>
      <c r="K15">
        <f t="shared" ca="1" si="3"/>
        <v>0</v>
      </c>
      <c r="L15">
        <f t="shared" ca="1" si="9"/>
        <v>-4</v>
      </c>
      <c r="N15">
        <v>8</v>
      </c>
      <c r="O15" s="81" t="str">
        <f t="shared" ca="1" si="4"/>
        <v>A</v>
      </c>
      <c r="P15">
        <f t="shared" ca="1" si="10"/>
        <v>-3</v>
      </c>
      <c r="Q15">
        <f t="shared" ca="1" si="5"/>
        <v>0</v>
      </c>
      <c r="R15">
        <f t="shared" ca="1" si="11"/>
        <v>1</v>
      </c>
      <c r="S15">
        <f t="shared" ca="1" si="12"/>
        <v>0</v>
      </c>
      <c r="T15">
        <f t="shared" ca="1" si="6"/>
        <v>1</v>
      </c>
      <c r="U15">
        <f t="shared" ca="1" si="13"/>
        <v>-2</v>
      </c>
    </row>
    <row r="16" spans="1:27" x14ac:dyDescent="0.3">
      <c r="A16">
        <v>9</v>
      </c>
      <c r="B16">
        <f t="shared" ca="1" si="0"/>
        <v>0</v>
      </c>
      <c r="C16">
        <f t="shared" ca="1" si="7"/>
        <v>1</v>
      </c>
      <c r="G16">
        <v>9</v>
      </c>
      <c r="H16">
        <f t="shared" ca="1" si="8"/>
        <v>-4</v>
      </c>
      <c r="I16">
        <f t="shared" ca="1" si="1"/>
        <v>2</v>
      </c>
      <c r="J16">
        <f t="shared" ca="1" si="2"/>
        <v>2</v>
      </c>
      <c r="K16">
        <f t="shared" ca="1" si="3"/>
        <v>1</v>
      </c>
      <c r="L16">
        <f t="shared" ca="1" si="9"/>
        <v>-3</v>
      </c>
      <c r="N16">
        <v>9</v>
      </c>
      <c r="O16" s="81" t="str">
        <f t="shared" ca="1" si="4"/>
        <v>A</v>
      </c>
      <c r="P16">
        <f t="shared" ca="1" si="10"/>
        <v>-2</v>
      </c>
      <c r="Q16">
        <f t="shared" ca="1" si="5"/>
        <v>1</v>
      </c>
      <c r="R16">
        <f t="shared" ca="1" si="11"/>
        <v>2</v>
      </c>
      <c r="S16">
        <f t="shared" ca="1" si="12"/>
        <v>1</v>
      </c>
      <c r="T16">
        <f t="shared" ca="1" si="6"/>
        <v>0</v>
      </c>
      <c r="U16">
        <f t="shared" ca="1" si="13"/>
        <v>-3</v>
      </c>
    </row>
    <row r="17" spans="1:21" x14ac:dyDescent="0.3">
      <c r="A17">
        <v>10</v>
      </c>
      <c r="B17">
        <f t="shared" ca="1" si="0"/>
        <v>1</v>
      </c>
      <c r="C17">
        <f t="shared" ca="1" si="7"/>
        <v>2</v>
      </c>
      <c r="G17">
        <v>10</v>
      </c>
      <c r="H17">
        <f t="shared" ca="1" si="8"/>
        <v>-3</v>
      </c>
      <c r="I17">
        <f t="shared" ca="1" si="1"/>
        <v>0</v>
      </c>
      <c r="J17">
        <f t="shared" ca="1" si="2"/>
        <v>1</v>
      </c>
      <c r="K17">
        <f t="shared" ca="1" si="3"/>
        <v>0</v>
      </c>
      <c r="L17">
        <f t="shared" ca="1" si="9"/>
        <v>-4</v>
      </c>
      <c r="N17">
        <v>10</v>
      </c>
      <c r="O17" s="81" t="str">
        <f t="shared" ca="1" si="4"/>
        <v>A</v>
      </c>
      <c r="P17">
        <f t="shared" ca="1" si="10"/>
        <v>-3</v>
      </c>
      <c r="Q17">
        <f t="shared" ca="1" si="5"/>
        <v>0</v>
      </c>
      <c r="R17">
        <f t="shared" ca="1" si="11"/>
        <v>1</v>
      </c>
      <c r="S17">
        <f t="shared" ca="1" si="12"/>
        <v>0</v>
      </c>
      <c r="T17">
        <f t="shared" ca="1" si="6"/>
        <v>1</v>
      </c>
      <c r="U17">
        <f t="shared" ca="1" si="13"/>
        <v>-2</v>
      </c>
    </row>
    <row r="18" spans="1:21" x14ac:dyDescent="0.3">
      <c r="A18">
        <v>11</v>
      </c>
      <c r="B18">
        <f t="shared" ca="1" si="0"/>
        <v>0</v>
      </c>
      <c r="C18">
        <f t="shared" ca="1" si="7"/>
        <v>1</v>
      </c>
      <c r="G18">
        <v>11</v>
      </c>
      <c r="H18">
        <f t="shared" ca="1" si="8"/>
        <v>-4</v>
      </c>
      <c r="I18">
        <f t="shared" ca="1" si="1"/>
        <v>2</v>
      </c>
      <c r="J18">
        <f t="shared" ca="1" si="2"/>
        <v>2</v>
      </c>
      <c r="K18">
        <f t="shared" ca="1" si="3"/>
        <v>0</v>
      </c>
      <c r="L18">
        <f t="shared" ca="1" si="9"/>
        <v>-5</v>
      </c>
      <c r="N18">
        <v>11</v>
      </c>
      <c r="O18" s="81" t="str">
        <f t="shared" ca="1" si="4"/>
        <v>B</v>
      </c>
      <c r="P18">
        <f t="shared" ca="1" si="10"/>
        <v>-2</v>
      </c>
      <c r="Q18">
        <f t="shared" ca="1" si="5"/>
        <v>1</v>
      </c>
      <c r="R18">
        <f t="shared" ca="1" si="11"/>
        <v>2</v>
      </c>
      <c r="S18">
        <f t="shared" ca="1" si="12"/>
        <v>1</v>
      </c>
      <c r="T18">
        <f t="shared" ca="1" si="6"/>
        <v>1</v>
      </c>
      <c r="U18">
        <f t="shared" ca="1" si="13"/>
        <v>-1</v>
      </c>
    </row>
    <row r="19" spans="1:21" x14ac:dyDescent="0.3">
      <c r="A19">
        <v>12</v>
      </c>
      <c r="B19">
        <f t="shared" ca="1" si="0"/>
        <v>0</v>
      </c>
      <c r="C19">
        <f t="shared" ca="1" si="7"/>
        <v>0</v>
      </c>
      <c r="G19">
        <v>12</v>
      </c>
      <c r="H19">
        <f t="shared" ca="1" si="8"/>
        <v>-5</v>
      </c>
      <c r="I19">
        <f t="shared" ca="1" si="1"/>
        <v>1</v>
      </c>
      <c r="J19">
        <f t="shared" ca="1" si="2"/>
        <v>2</v>
      </c>
      <c r="K19">
        <f t="shared" ca="1" si="3"/>
        <v>1</v>
      </c>
      <c r="L19">
        <f t="shared" ca="1" si="9"/>
        <v>-4</v>
      </c>
      <c r="N19">
        <v>12</v>
      </c>
      <c r="O19" s="81" t="str">
        <f t="shared" ca="1" si="4"/>
        <v>A</v>
      </c>
      <c r="P19">
        <f t="shared" ca="1" si="10"/>
        <v>-1</v>
      </c>
      <c r="Q19">
        <f t="shared" ca="1" si="5"/>
        <v>2</v>
      </c>
      <c r="R19">
        <f t="shared" ca="1" si="11"/>
        <v>2</v>
      </c>
      <c r="S19">
        <f t="shared" ca="1" si="12"/>
        <v>1</v>
      </c>
      <c r="T19">
        <f t="shared" ca="1" si="6"/>
        <v>0</v>
      </c>
      <c r="U19">
        <f t="shared" ca="1" si="13"/>
        <v>-2</v>
      </c>
    </row>
    <row r="20" spans="1:21" x14ac:dyDescent="0.3">
      <c r="A20">
        <v>13</v>
      </c>
      <c r="B20">
        <f t="shared" ca="1" si="0"/>
        <v>0</v>
      </c>
      <c r="C20">
        <f t="shared" ca="1" si="7"/>
        <v>-1</v>
      </c>
      <c r="G20">
        <v>13</v>
      </c>
      <c r="H20">
        <f t="shared" ca="1" si="8"/>
        <v>-4</v>
      </c>
      <c r="I20">
        <f t="shared" ca="1" si="1"/>
        <v>2</v>
      </c>
      <c r="J20">
        <f t="shared" ca="1" si="2"/>
        <v>2</v>
      </c>
      <c r="K20">
        <f t="shared" ca="1" si="3"/>
        <v>0</v>
      </c>
      <c r="L20">
        <f t="shared" ca="1" si="9"/>
        <v>-5</v>
      </c>
      <c r="N20">
        <v>13</v>
      </c>
      <c r="O20" s="81" t="str">
        <f t="shared" ca="1" si="4"/>
        <v>A</v>
      </c>
      <c r="P20">
        <f t="shared" ca="1" si="10"/>
        <v>-2</v>
      </c>
      <c r="Q20">
        <f t="shared" ca="1" si="5"/>
        <v>1</v>
      </c>
      <c r="R20">
        <f t="shared" ca="1" si="11"/>
        <v>2</v>
      </c>
      <c r="S20">
        <f t="shared" ca="1" si="12"/>
        <v>0</v>
      </c>
      <c r="T20">
        <f t="shared" ca="1" si="6"/>
        <v>0</v>
      </c>
      <c r="U20">
        <f t="shared" ca="1" si="13"/>
        <v>-3</v>
      </c>
    </row>
    <row r="21" spans="1:21" x14ac:dyDescent="0.3">
      <c r="A21">
        <v>14</v>
      </c>
      <c r="B21">
        <f t="shared" ca="1" si="0"/>
        <v>1</v>
      </c>
      <c r="C21">
        <f t="shared" ca="1" si="7"/>
        <v>0</v>
      </c>
      <c r="G21">
        <v>14</v>
      </c>
      <c r="H21">
        <f t="shared" ca="1" si="8"/>
        <v>-5</v>
      </c>
      <c r="I21">
        <f t="shared" ca="1" si="1"/>
        <v>1</v>
      </c>
      <c r="J21">
        <f t="shared" ca="1" si="2"/>
        <v>2</v>
      </c>
      <c r="K21">
        <f t="shared" ca="1" si="3"/>
        <v>1</v>
      </c>
      <c r="L21">
        <f t="shared" ca="1" si="9"/>
        <v>-4</v>
      </c>
      <c r="N21">
        <v>14</v>
      </c>
      <c r="O21" s="81" t="str">
        <f t="shared" ca="1" si="4"/>
        <v>A</v>
      </c>
      <c r="P21">
        <f t="shared" ca="1" si="10"/>
        <v>-3</v>
      </c>
      <c r="Q21">
        <f t="shared" ca="1" si="5"/>
        <v>0</v>
      </c>
      <c r="R21">
        <f t="shared" ca="1" si="11"/>
        <v>1</v>
      </c>
      <c r="S21">
        <f t="shared" ca="1" si="12"/>
        <v>0</v>
      </c>
      <c r="T21">
        <f t="shared" ca="1" si="6"/>
        <v>1</v>
      </c>
      <c r="U21">
        <f t="shared" ca="1" si="13"/>
        <v>-2</v>
      </c>
    </row>
    <row r="22" spans="1:21" x14ac:dyDescent="0.3">
      <c r="A22">
        <v>15</v>
      </c>
      <c r="B22">
        <f t="shared" ca="1" si="0"/>
        <v>0</v>
      </c>
      <c r="C22">
        <f t="shared" ca="1" si="7"/>
        <v>-1</v>
      </c>
      <c r="G22">
        <v>15</v>
      </c>
      <c r="H22">
        <f t="shared" ca="1" si="8"/>
        <v>-4</v>
      </c>
      <c r="I22">
        <f t="shared" ca="1" si="1"/>
        <v>2</v>
      </c>
      <c r="J22">
        <f t="shared" ca="1" si="2"/>
        <v>2</v>
      </c>
      <c r="K22">
        <f t="shared" ca="1" si="3"/>
        <v>0</v>
      </c>
      <c r="L22">
        <f t="shared" ca="1" si="9"/>
        <v>-5</v>
      </c>
      <c r="N22">
        <v>15</v>
      </c>
      <c r="O22" s="81" t="str">
        <f t="shared" ca="1" si="4"/>
        <v>B</v>
      </c>
      <c r="P22">
        <f t="shared" ca="1" si="10"/>
        <v>-2</v>
      </c>
      <c r="Q22">
        <f t="shared" ca="1" si="5"/>
        <v>1</v>
      </c>
      <c r="R22">
        <f t="shared" ca="1" si="11"/>
        <v>2</v>
      </c>
      <c r="S22">
        <f t="shared" ca="1" si="12"/>
        <v>0</v>
      </c>
      <c r="T22">
        <f t="shared" ca="1" si="6"/>
        <v>0</v>
      </c>
      <c r="U22">
        <f t="shared" ca="1" si="13"/>
        <v>-3</v>
      </c>
    </row>
    <row r="23" spans="1:21" x14ac:dyDescent="0.3">
      <c r="A23">
        <v>16</v>
      </c>
      <c r="B23">
        <f t="shared" ca="1" si="0"/>
        <v>1</v>
      </c>
      <c r="C23">
        <f t="shared" ca="1" si="7"/>
        <v>0</v>
      </c>
      <c r="G23">
        <v>16</v>
      </c>
      <c r="H23">
        <f t="shared" ca="1" si="8"/>
        <v>-5</v>
      </c>
      <c r="I23">
        <f t="shared" ca="1" si="1"/>
        <v>1</v>
      </c>
      <c r="J23">
        <f t="shared" ca="1" si="2"/>
        <v>2</v>
      </c>
      <c r="K23">
        <f t="shared" ca="1" si="3"/>
        <v>1</v>
      </c>
      <c r="L23">
        <f t="shared" ca="1" si="9"/>
        <v>-4</v>
      </c>
      <c r="N23">
        <v>16</v>
      </c>
      <c r="O23" s="81" t="str">
        <f t="shared" ca="1" si="4"/>
        <v>A</v>
      </c>
      <c r="P23">
        <f t="shared" ca="1" si="10"/>
        <v>-3</v>
      </c>
      <c r="Q23">
        <f t="shared" ca="1" si="5"/>
        <v>0</v>
      </c>
      <c r="R23">
        <f t="shared" ca="1" si="11"/>
        <v>1</v>
      </c>
      <c r="S23">
        <f t="shared" ca="1" si="12"/>
        <v>0</v>
      </c>
      <c r="T23">
        <f t="shared" ca="1" si="6"/>
        <v>1</v>
      </c>
      <c r="U23">
        <f t="shared" ca="1" si="13"/>
        <v>-2</v>
      </c>
    </row>
    <row r="24" spans="1:21" x14ac:dyDescent="0.3">
      <c r="A24">
        <v>17</v>
      </c>
      <c r="B24">
        <f t="shared" ca="1" si="0"/>
        <v>1</v>
      </c>
      <c r="C24">
        <f t="shared" ca="1" si="7"/>
        <v>1</v>
      </c>
      <c r="G24">
        <v>17</v>
      </c>
      <c r="H24">
        <f t="shared" ca="1" si="8"/>
        <v>-4</v>
      </c>
      <c r="I24">
        <f t="shared" ca="1" si="1"/>
        <v>2</v>
      </c>
      <c r="J24">
        <f t="shared" ca="1" si="2"/>
        <v>2</v>
      </c>
      <c r="K24">
        <f t="shared" ca="1" si="3"/>
        <v>1</v>
      </c>
      <c r="L24">
        <f t="shared" ca="1" si="9"/>
        <v>-3</v>
      </c>
      <c r="N24">
        <v>17</v>
      </c>
      <c r="O24" s="81" t="str">
        <f t="shared" ca="1" si="4"/>
        <v>B</v>
      </c>
      <c r="P24">
        <f t="shared" ca="1" si="10"/>
        <v>-2</v>
      </c>
      <c r="Q24">
        <f t="shared" ca="1" si="5"/>
        <v>1</v>
      </c>
      <c r="R24">
        <f t="shared" ca="1" si="11"/>
        <v>2</v>
      </c>
      <c r="S24">
        <f t="shared" ca="1" si="12"/>
        <v>1</v>
      </c>
      <c r="T24">
        <f t="shared" ca="1" si="6"/>
        <v>1</v>
      </c>
      <c r="U24">
        <f t="shared" ca="1" si="13"/>
        <v>-1</v>
      </c>
    </row>
    <row r="25" spans="1:21" x14ac:dyDescent="0.3">
      <c r="A25">
        <v>18</v>
      </c>
      <c r="B25">
        <f t="shared" ca="1" si="0"/>
        <v>1</v>
      </c>
      <c r="C25">
        <f t="shared" ca="1" si="7"/>
        <v>2</v>
      </c>
      <c r="G25">
        <v>18</v>
      </c>
      <c r="H25">
        <f t="shared" ca="1" si="8"/>
        <v>-3</v>
      </c>
      <c r="I25">
        <f t="shared" ca="1" si="1"/>
        <v>0</v>
      </c>
      <c r="J25">
        <f t="shared" ca="1" si="2"/>
        <v>1</v>
      </c>
      <c r="K25">
        <f t="shared" ca="1" si="3"/>
        <v>0</v>
      </c>
      <c r="L25">
        <f t="shared" ca="1" si="9"/>
        <v>-4</v>
      </c>
      <c r="N25">
        <v>18</v>
      </c>
      <c r="O25" s="81" t="str">
        <f t="shared" ca="1" si="4"/>
        <v>B</v>
      </c>
      <c r="P25">
        <f t="shared" ca="1" si="10"/>
        <v>-1</v>
      </c>
      <c r="Q25">
        <f t="shared" ca="1" si="5"/>
        <v>2</v>
      </c>
      <c r="R25">
        <f t="shared" ca="1" si="11"/>
        <v>2</v>
      </c>
      <c r="S25">
        <f t="shared" ca="1" si="12"/>
        <v>1</v>
      </c>
      <c r="T25">
        <f t="shared" ca="1" si="6"/>
        <v>1</v>
      </c>
      <c r="U25">
        <f t="shared" ca="1" si="13"/>
        <v>0</v>
      </c>
    </row>
    <row r="26" spans="1:21" x14ac:dyDescent="0.3">
      <c r="A26">
        <v>19</v>
      </c>
      <c r="B26">
        <f t="shared" ca="1" si="0"/>
        <v>1</v>
      </c>
      <c r="C26">
        <f t="shared" ca="1" si="7"/>
        <v>3</v>
      </c>
      <c r="G26">
        <v>19</v>
      </c>
      <c r="H26">
        <f t="shared" ca="1" si="8"/>
        <v>-4</v>
      </c>
      <c r="I26">
        <f t="shared" ca="1" si="1"/>
        <v>2</v>
      </c>
      <c r="J26">
        <f t="shared" ca="1" si="2"/>
        <v>2</v>
      </c>
      <c r="K26">
        <f t="shared" ca="1" si="3"/>
        <v>1</v>
      </c>
      <c r="L26">
        <f t="shared" ca="1" si="9"/>
        <v>-3</v>
      </c>
      <c r="N26">
        <v>19</v>
      </c>
      <c r="O26" s="81" t="str">
        <f t="shared" ca="1" si="4"/>
        <v>B</v>
      </c>
      <c r="P26">
        <f t="shared" ca="1" si="10"/>
        <v>0</v>
      </c>
      <c r="Q26">
        <f t="shared" ca="1" si="5"/>
        <v>0</v>
      </c>
      <c r="R26">
        <f t="shared" ca="1" si="11"/>
        <v>1</v>
      </c>
      <c r="S26">
        <f t="shared" ca="1" si="12"/>
        <v>0</v>
      </c>
      <c r="T26">
        <f t="shared" ca="1" si="6"/>
        <v>0</v>
      </c>
      <c r="U26">
        <f t="shared" ca="1" si="13"/>
        <v>-1</v>
      </c>
    </row>
    <row r="27" spans="1:21" x14ac:dyDescent="0.3">
      <c r="A27">
        <v>20</v>
      </c>
      <c r="B27">
        <f t="shared" ca="1" si="0"/>
        <v>1</v>
      </c>
      <c r="C27">
        <f t="shared" ca="1" si="7"/>
        <v>4</v>
      </c>
      <c r="G27">
        <v>20</v>
      </c>
      <c r="H27">
        <f t="shared" ca="1" si="8"/>
        <v>-3</v>
      </c>
      <c r="I27">
        <f t="shared" ca="1" si="1"/>
        <v>0</v>
      </c>
      <c r="J27">
        <f t="shared" ca="1" si="2"/>
        <v>1</v>
      </c>
      <c r="K27">
        <f t="shared" ca="1" si="3"/>
        <v>0</v>
      </c>
      <c r="L27">
        <f t="shared" ca="1" si="9"/>
        <v>-4</v>
      </c>
      <c r="N27">
        <v>20</v>
      </c>
      <c r="O27" s="81" t="str">
        <f t="shared" ca="1" si="4"/>
        <v>B</v>
      </c>
      <c r="P27">
        <f t="shared" ca="1" si="10"/>
        <v>-1</v>
      </c>
      <c r="Q27">
        <f t="shared" ca="1" si="5"/>
        <v>2</v>
      </c>
      <c r="R27">
        <f t="shared" ca="1" si="11"/>
        <v>2</v>
      </c>
      <c r="S27">
        <f t="shared" ca="1" si="12"/>
        <v>1</v>
      </c>
      <c r="T27">
        <f t="shared" ca="1" si="6"/>
        <v>1</v>
      </c>
      <c r="U27">
        <f t="shared" ca="1" si="13"/>
        <v>0</v>
      </c>
    </row>
    <row r="28" spans="1:21" x14ac:dyDescent="0.3">
      <c r="A28">
        <v>21</v>
      </c>
      <c r="B28">
        <f t="shared" ca="1" si="0"/>
        <v>1</v>
      </c>
      <c r="C28">
        <f t="shared" ca="1" si="7"/>
        <v>5</v>
      </c>
      <c r="G28">
        <v>21</v>
      </c>
      <c r="H28">
        <f t="shared" ca="1" si="8"/>
        <v>-4</v>
      </c>
      <c r="I28">
        <f t="shared" ca="1" si="1"/>
        <v>2</v>
      </c>
      <c r="J28">
        <f t="shared" ca="1" si="2"/>
        <v>2</v>
      </c>
      <c r="K28">
        <f t="shared" ca="1" si="3"/>
        <v>1</v>
      </c>
      <c r="L28">
        <f t="shared" ca="1" si="9"/>
        <v>-3</v>
      </c>
      <c r="N28">
        <v>21</v>
      </c>
      <c r="O28" s="81" t="str">
        <f t="shared" ca="1" si="4"/>
        <v>A</v>
      </c>
      <c r="P28">
        <f t="shared" ca="1" si="10"/>
        <v>0</v>
      </c>
      <c r="Q28">
        <f t="shared" ca="1" si="5"/>
        <v>0</v>
      </c>
      <c r="R28">
        <f t="shared" ca="1" si="11"/>
        <v>1</v>
      </c>
      <c r="S28">
        <f t="shared" ca="1" si="12"/>
        <v>0</v>
      </c>
      <c r="T28">
        <f t="shared" ca="1" si="6"/>
        <v>1</v>
      </c>
      <c r="U28">
        <f t="shared" ca="1" si="13"/>
        <v>1</v>
      </c>
    </row>
    <row r="29" spans="1:21" x14ac:dyDescent="0.3">
      <c r="A29">
        <v>22</v>
      </c>
      <c r="B29">
        <f t="shared" ca="1" si="0"/>
        <v>0</v>
      </c>
      <c r="C29">
        <f t="shared" ca="1" si="7"/>
        <v>4</v>
      </c>
      <c r="G29">
        <v>22</v>
      </c>
      <c r="H29">
        <f t="shared" ca="1" si="8"/>
        <v>-3</v>
      </c>
      <c r="I29">
        <f t="shared" ca="1" si="1"/>
        <v>0</v>
      </c>
      <c r="J29">
        <f t="shared" ca="1" si="2"/>
        <v>1</v>
      </c>
      <c r="K29">
        <f t="shared" ca="1" si="3"/>
        <v>0</v>
      </c>
      <c r="L29">
        <f t="shared" ca="1" si="9"/>
        <v>-4</v>
      </c>
      <c r="N29">
        <v>22</v>
      </c>
      <c r="O29" s="81" t="str">
        <f t="shared" ca="1" si="4"/>
        <v>B</v>
      </c>
      <c r="P29">
        <f t="shared" ca="1" si="10"/>
        <v>1</v>
      </c>
      <c r="Q29">
        <f t="shared" ca="1" si="5"/>
        <v>1</v>
      </c>
      <c r="R29">
        <f t="shared" ca="1" si="11"/>
        <v>2</v>
      </c>
      <c r="S29">
        <f t="shared" ca="1" si="12"/>
        <v>0</v>
      </c>
      <c r="T29">
        <f t="shared" ca="1" si="6"/>
        <v>0</v>
      </c>
      <c r="U29">
        <f t="shared" ca="1" si="13"/>
        <v>0</v>
      </c>
    </row>
    <row r="30" spans="1:21" x14ac:dyDescent="0.3">
      <c r="A30">
        <v>23</v>
      </c>
      <c r="B30">
        <f t="shared" ca="1" si="0"/>
        <v>0</v>
      </c>
      <c r="C30">
        <f t="shared" ca="1" si="7"/>
        <v>3</v>
      </c>
      <c r="G30">
        <v>23</v>
      </c>
      <c r="H30">
        <f t="shared" ca="1" si="8"/>
        <v>-4</v>
      </c>
      <c r="I30">
        <f t="shared" ca="1" si="1"/>
        <v>2</v>
      </c>
      <c r="J30">
        <f t="shared" ca="1" si="2"/>
        <v>2</v>
      </c>
      <c r="K30">
        <f t="shared" ca="1" si="3"/>
        <v>0</v>
      </c>
      <c r="L30">
        <f t="shared" ca="1" si="9"/>
        <v>-5</v>
      </c>
      <c r="N30">
        <v>23</v>
      </c>
      <c r="O30" s="81" t="str">
        <f t="shared" ca="1" si="4"/>
        <v>B</v>
      </c>
      <c r="P30">
        <f t="shared" ca="1" si="10"/>
        <v>0</v>
      </c>
      <c r="Q30">
        <f t="shared" ca="1" si="5"/>
        <v>0</v>
      </c>
      <c r="R30">
        <f t="shared" ca="1" si="11"/>
        <v>1</v>
      </c>
      <c r="S30">
        <f t="shared" ca="1" si="12"/>
        <v>0</v>
      </c>
      <c r="T30">
        <f t="shared" ca="1" si="6"/>
        <v>0</v>
      </c>
      <c r="U30">
        <f t="shared" ca="1" si="13"/>
        <v>-1</v>
      </c>
    </row>
    <row r="31" spans="1:21" x14ac:dyDescent="0.3">
      <c r="A31">
        <v>24</v>
      </c>
      <c r="B31">
        <f t="shared" ca="1" si="0"/>
        <v>0</v>
      </c>
      <c r="C31">
        <f t="shared" ca="1" si="7"/>
        <v>2</v>
      </c>
      <c r="G31">
        <v>24</v>
      </c>
      <c r="H31">
        <f t="shared" ca="1" si="8"/>
        <v>-5</v>
      </c>
      <c r="I31">
        <f t="shared" ca="1" si="1"/>
        <v>1</v>
      </c>
      <c r="J31">
        <f t="shared" ca="1" si="2"/>
        <v>2</v>
      </c>
      <c r="K31">
        <f t="shared" ca="1" si="3"/>
        <v>1</v>
      </c>
      <c r="L31">
        <f t="shared" ca="1" si="9"/>
        <v>-4</v>
      </c>
      <c r="N31">
        <v>24</v>
      </c>
      <c r="O31" s="81" t="str">
        <f t="shared" ca="1" si="4"/>
        <v>B</v>
      </c>
      <c r="P31">
        <f t="shared" ca="1" si="10"/>
        <v>-1</v>
      </c>
      <c r="Q31">
        <f t="shared" ca="1" si="5"/>
        <v>2</v>
      </c>
      <c r="R31">
        <f t="shared" ca="1" si="11"/>
        <v>2</v>
      </c>
      <c r="S31">
        <f t="shared" ca="1" si="12"/>
        <v>1</v>
      </c>
      <c r="T31">
        <f t="shared" ca="1" si="6"/>
        <v>1</v>
      </c>
      <c r="U31">
        <f t="shared" ca="1" si="13"/>
        <v>0</v>
      </c>
    </row>
    <row r="32" spans="1:21" x14ac:dyDescent="0.3">
      <c r="A32">
        <v>25</v>
      </c>
      <c r="B32">
        <f t="shared" ca="1" si="0"/>
        <v>0</v>
      </c>
      <c r="C32">
        <f t="shared" ca="1" si="7"/>
        <v>1</v>
      </c>
      <c r="G32">
        <v>25</v>
      </c>
      <c r="H32">
        <f t="shared" ca="1" si="8"/>
        <v>-4</v>
      </c>
      <c r="I32">
        <f t="shared" ca="1" si="1"/>
        <v>2</v>
      </c>
      <c r="J32">
        <f t="shared" ca="1" si="2"/>
        <v>2</v>
      </c>
      <c r="K32">
        <f t="shared" ca="1" si="3"/>
        <v>1</v>
      </c>
      <c r="L32">
        <f t="shared" ca="1" si="9"/>
        <v>-3</v>
      </c>
      <c r="N32">
        <v>25</v>
      </c>
      <c r="O32" s="81" t="str">
        <f t="shared" ca="1" si="4"/>
        <v>B</v>
      </c>
      <c r="P32">
        <f t="shared" ca="1" si="10"/>
        <v>0</v>
      </c>
      <c r="Q32">
        <f t="shared" ca="1" si="5"/>
        <v>0</v>
      </c>
      <c r="R32">
        <f t="shared" ca="1" si="11"/>
        <v>1</v>
      </c>
      <c r="S32">
        <f t="shared" ca="1" si="12"/>
        <v>0</v>
      </c>
      <c r="T32">
        <f t="shared" ca="1" si="6"/>
        <v>0</v>
      </c>
      <c r="U32">
        <f t="shared" ca="1" si="13"/>
        <v>-1</v>
      </c>
    </row>
    <row r="33" spans="1:21" x14ac:dyDescent="0.3">
      <c r="A33">
        <v>26</v>
      </c>
      <c r="B33">
        <f t="shared" ca="1" si="0"/>
        <v>1</v>
      </c>
      <c r="C33">
        <f t="shared" ca="1" si="7"/>
        <v>2</v>
      </c>
      <c r="G33">
        <v>26</v>
      </c>
      <c r="H33">
        <f t="shared" ca="1" si="8"/>
        <v>-3</v>
      </c>
      <c r="I33">
        <f t="shared" ca="1" si="1"/>
        <v>0</v>
      </c>
      <c r="J33">
        <f t="shared" ca="1" si="2"/>
        <v>1</v>
      </c>
      <c r="K33">
        <f t="shared" ca="1" si="3"/>
        <v>0</v>
      </c>
      <c r="L33">
        <f t="shared" ca="1" si="9"/>
        <v>-4</v>
      </c>
      <c r="N33">
        <v>26</v>
      </c>
      <c r="O33" s="81" t="str">
        <f t="shared" ca="1" si="4"/>
        <v>A</v>
      </c>
      <c r="P33">
        <f t="shared" ca="1" si="10"/>
        <v>-1</v>
      </c>
      <c r="Q33">
        <f t="shared" ca="1" si="5"/>
        <v>2</v>
      </c>
      <c r="R33">
        <f t="shared" ca="1" si="11"/>
        <v>2</v>
      </c>
      <c r="S33">
        <f t="shared" ca="1" si="12"/>
        <v>1</v>
      </c>
      <c r="T33">
        <f t="shared" ca="1" si="6"/>
        <v>1</v>
      </c>
      <c r="U33">
        <f t="shared" ca="1" si="13"/>
        <v>0</v>
      </c>
    </row>
    <row r="34" spans="1:21" x14ac:dyDescent="0.3">
      <c r="A34">
        <v>27</v>
      </c>
      <c r="B34">
        <f t="shared" ca="1" si="0"/>
        <v>0</v>
      </c>
      <c r="C34">
        <f t="shared" ca="1" si="7"/>
        <v>1</v>
      </c>
      <c r="G34">
        <v>27</v>
      </c>
      <c r="H34">
        <f t="shared" ca="1" si="8"/>
        <v>-4</v>
      </c>
      <c r="I34">
        <f t="shared" ca="1" si="1"/>
        <v>2</v>
      </c>
      <c r="J34">
        <f t="shared" ca="1" si="2"/>
        <v>2</v>
      </c>
      <c r="K34">
        <f t="shared" ca="1" si="3"/>
        <v>1</v>
      </c>
      <c r="L34">
        <f t="shared" ca="1" si="9"/>
        <v>-3</v>
      </c>
      <c r="N34">
        <v>27</v>
      </c>
      <c r="O34" s="81" t="str">
        <f t="shared" ca="1" si="4"/>
        <v>A</v>
      </c>
      <c r="P34">
        <f t="shared" ca="1" si="10"/>
        <v>0</v>
      </c>
      <c r="Q34">
        <f t="shared" ca="1" si="5"/>
        <v>0</v>
      </c>
      <c r="R34">
        <f t="shared" ca="1" si="11"/>
        <v>1</v>
      </c>
      <c r="S34">
        <f t="shared" ca="1" si="12"/>
        <v>0</v>
      </c>
      <c r="T34">
        <f t="shared" ca="1" si="6"/>
        <v>0</v>
      </c>
      <c r="U34">
        <f t="shared" ca="1" si="13"/>
        <v>-1</v>
      </c>
    </row>
    <row r="35" spans="1:21" x14ac:dyDescent="0.3">
      <c r="A35">
        <v>28</v>
      </c>
      <c r="B35">
        <f t="shared" ca="1" si="0"/>
        <v>1</v>
      </c>
      <c r="C35">
        <f t="shared" ca="1" si="7"/>
        <v>2</v>
      </c>
      <c r="G35">
        <v>28</v>
      </c>
      <c r="H35">
        <f t="shared" ca="1" si="8"/>
        <v>-3</v>
      </c>
      <c r="I35">
        <f t="shared" ca="1" si="1"/>
        <v>0</v>
      </c>
      <c r="J35">
        <f t="shared" ca="1" si="2"/>
        <v>1</v>
      </c>
      <c r="K35">
        <f t="shared" ca="1" si="3"/>
        <v>0</v>
      </c>
      <c r="L35">
        <f t="shared" ca="1" si="9"/>
        <v>-4</v>
      </c>
      <c r="N35">
        <v>28</v>
      </c>
      <c r="O35" s="81" t="str">
        <f t="shared" ca="1" si="4"/>
        <v>B</v>
      </c>
      <c r="P35">
        <f t="shared" ca="1" si="10"/>
        <v>-1</v>
      </c>
      <c r="Q35">
        <f t="shared" ca="1" si="5"/>
        <v>2</v>
      </c>
      <c r="R35">
        <f t="shared" ca="1" si="11"/>
        <v>2</v>
      </c>
      <c r="S35">
        <f t="shared" ca="1" si="12"/>
        <v>1</v>
      </c>
      <c r="T35">
        <f t="shared" ca="1" si="6"/>
        <v>1</v>
      </c>
      <c r="U35">
        <f t="shared" ca="1" si="13"/>
        <v>0</v>
      </c>
    </row>
    <row r="36" spans="1:21" x14ac:dyDescent="0.3">
      <c r="A36">
        <v>29</v>
      </c>
      <c r="B36">
        <f t="shared" ca="1" si="0"/>
        <v>1</v>
      </c>
      <c r="C36">
        <f t="shared" ca="1" si="7"/>
        <v>3</v>
      </c>
      <c r="G36">
        <v>29</v>
      </c>
      <c r="H36">
        <f t="shared" ca="1" si="8"/>
        <v>-4</v>
      </c>
      <c r="I36">
        <f t="shared" ca="1" si="1"/>
        <v>2</v>
      </c>
      <c r="J36">
        <f t="shared" ca="1" si="2"/>
        <v>2</v>
      </c>
      <c r="K36">
        <f t="shared" ca="1" si="3"/>
        <v>0</v>
      </c>
      <c r="L36">
        <f t="shared" ca="1" si="9"/>
        <v>-5</v>
      </c>
      <c r="N36">
        <v>29</v>
      </c>
      <c r="O36" s="81" t="str">
        <f t="shared" ca="1" si="4"/>
        <v>A</v>
      </c>
      <c r="P36">
        <f t="shared" ca="1" si="10"/>
        <v>0</v>
      </c>
      <c r="Q36">
        <f t="shared" ca="1" si="5"/>
        <v>0</v>
      </c>
      <c r="R36">
        <f t="shared" ca="1" si="11"/>
        <v>1</v>
      </c>
      <c r="S36">
        <f t="shared" ca="1" si="12"/>
        <v>0</v>
      </c>
      <c r="T36">
        <f t="shared" ca="1" si="6"/>
        <v>1</v>
      </c>
      <c r="U36">
        <f t="shared" ca="1" si="13"/>
        <v>1</v>
      </c>
    </row>
    <row r="37" spans="1:21" x14ac:dyDescent="0.3">
      <c r="A37">
        <v>30</v>
      </c>
      <c r="B37">
        <f t="shared" ca="1" si="0"/>
        <v>0</v>
      </c>
      <c r="C37">
        <f t="shared" ca="1" si="7"/>
        <v>2</v>
      </c>
      <c r="G37">
        <v>30</v>
      </c>
      <c r="H37">
        <f t="shared" ca="1" si="8"/>
        <v>-5</v>
      </c>
      <c r="I37">
        <f t="shared" ca="1" si="1"/>
        <v>1</v>
      </c>
      <c r="J37">
        <f t="shared" ca="1" si="2"/>
        <v>2</v>
      </c>
      <c r="K37">
        <f t="shared" ca="1" si="3"/>
        <v>0</v>
      </c>
      <c r="L37">
        <f t="shared" ca="1" si="9"/>
        <v>-6</v>
      </c>
      <c r="N37">
        <v>30</v>
      </c>
      <c r="O37" s="81" t="str">
        <f t="shared" ca="1" si="4"/>
        <v>A</v>
      </c>
      <c r="P37">
        <f t="shared" ca="1" si="10"/>
        <v>1</v>
      </c>
      <c r="Q37">
        <f t="shared" ca="1" si="5"/>
        <v>1</v>
      </c>
      <c r="R37">
        <f t="shared" ca="1" si="11"/>
        <v>2</v>
      </c>
      <c r="S37">
        <f t="shared" ca="1" si="12"/>
        <v>1</v>
      </c>
      <c r="T37">
        <f t="shared" ca="1" si="6"/>
        <v>0</v>
      </c>
      <c r="U37">
        <f t="shared" ca="1" si="13"/>
        <v>0</v>
      </c>
    </row>
    <row r="38" spans="1:21" x14ac:dyDescent="0.3">
      <c r="A38">
        <v>31</v>
      </c>
      <c r="B38">
        <f t="shared" ca="1" si="0"/>
        <v>1</v>
      </c>
      <c r="C38">
        <f t="shared" ca="1" si="7"/>
        <v>3</v>
      </c>
      <c r="G38">
        <v>31</v>
      </c>
      <c r="H38">
        <f t="shared" ca="1" si="8"/>
        <v>-6</v>
      </c>
      <c r="I38">
        <f t="shared" ca="1" si="1"/>
        <v>0</v>
      </c>
      <c r="J38">
        <f t="shared" ca="1" si="2"/>
        <v>1</v>
      </c>
      <c r="K38">
        <f t="shared" ca="1" si="3"/>
        <v>0</v>
      </c>
      <c r="L38">
        <f t="shared" ca="1" si="9"/>
        <v>-7</v>
      </c>
      <c r="N38">
        <v>31</v>
      </c>
      <c r="O38" s="81" t="str">
        <f t="shared" ca="1" si="4"/>
        <v>B</v>
      </c>
      <c r="P38">
        <f t="shared" ca="1" si="10"/>
        <v>0</v>
      </c>
      <c r="Q38">
        <f t="shared" ca="1" si="5"/>
        <v>0</v>
      </c>
      <c r="R38">
        <f t="shared" ca="1" si="11"/>
        <v>1</v>
      </c>
      <c r="S38">
        <f t="shared" ca="1" si="12"/>
        <v>0</v>
      </c>
      <c r="T38">
        <f t="shared" ca="1" si="6"/>
        <v>0</v>
      </c>
      <c r="U38">
        <f t="shared" ca="1" si="13"/>
        <v>-1</v>
      </c>
    </row>
    <row r="39" spans="1:21" x14ac:dyDescent="0.3">
      <c r="A39">
        <v>32</v>
      </c>
      <c r="B39">
        <f t="shared" ca="1" si="0"/>
        <v>1</v>
      </c>
      <c r="C39">
        <f t="shared" ca="1" si="7"/>
        <v>4</v>
      </c>
      <c r="G39">
        <v>32</v>
      </c>
      <c r="H39">
        <f t="shared" ca="1" si="8"/>
        <v>-7</v>
      </c>
      <c r="I39">
        <f t="shared" ca="1" si="1"/>
        <v>2</v>
      </c>
      <c r="J39">
        <f t="shared" ca="1" si="2"/>
        <v>2</v>
      </c>
      <c r="K39">
        <f t="shared" ca="1" si="3"/>
        <v>1</v>
      </c>
      <c r="L39">
        <f t="shared" ca="1" si="9"/>
        <v>-6</v>
      </c>
      <c r="N39">
        <v>32</v>
      </c>
      <c r="O39" s="81" t="str">
        <f t="shared" ca="1" si="4"/>
        <v>A</v>
      </c>
      <c r="P39">
        <f t="shared" ca="1" si="10"/>
        <v>-1</v>
      </c>
      <c r="Q39">
        <f t="shared" ca="1" si="5"/>
        <v>2</v>
      </c>
      <c r="R39">
        <f t="shared" ca="1" si="11"/>
        <v>2</v>
      </c>
      <c r="S39">
        <f t="shared" ca="1" si="12"/>
        <v>0</v>
      </c>
      <c r="T39">
        <f t="shared" ca="1" si="6"/>
        <v>1</v>
      </c>
      <c r="U39">
        <f t="shared" ca="1" si="13"/>
        <v>0</v>
      </c>
    </row>
    <row r="40" spans="1:21" x14ac:dyDescent="0.3">
      <c r="A40">
        <v>33</v>
      </c>
      <c r="B40">
        <f t="shared" ref="B40:B71" ca="1" si="14">IF(RAND()&lt;=$B$5,1,0)</f>
        <v>0</v>
      </c>
      <c r="C40">
        <f t="shared" ca="1" si="7"/>
        <v>3</v>
      </c>
      <c r="G40">
        <v>33</v>
      </c>
      <c r="H40">
        <f t="shared" ca="1" si="8"/>
        <v>-6</v>
      </c>
      <c r="I40">
        <f t="shared" ref="I40:I71" ca="1" si="15">MOD(H40,3)</f>
        <v>0</v>
      </c>
      <c r="J40">
        <f t="shared" ref="J40:J71" ca="1" si="16">IF(I40=0,1,2)</f>
        <v>1</v>
      </c>
      <c r="K40">
        <f t="shared" ref="K40:K71" ca="1" si="17">IF(I40=0,IF(RAND()&lt;=$H$5,1,0),IF(RAND()&lt;=$K$5,1,0))</f>
        <v>0</v>
      </c>
      <c r="L40">
        <f t="shared" ca="1" si="9"/>
        <v>-7</v>
      </c>
      <c r="N40">
        <v>33</v>
      </c>
      <c r="O40" s="81" t="str">
        <f t="shared" ref="O40:O71" ca="1" si="18">IF(RAND()&lt;=0.5,"A","B")</f>
        <v>B</v>
      </c>
      <c r="P40">
        <f t="shared" ca="1" si="10"/>
        <v>0</v>
      </c>
      <c r="Q40">
        <f t="shared" ref="Q40:Q71" ca="1" si="19">MOD(P40,3)</f>
        <v>0</v>
      </c>
      <c r="R40">
        <f t="shared" ca="1" si="11"/>
        <v>1</v>
      </c>
      <c r="S40">
        <f t="shared" ca="1" si="12"/>
        <v>0</v>
      </c>
      <c r="T40">
        <f t="shared" ref="T40:T71" ca="1" si="20">IF(O40="A",B40,S40)</f>
        <v>0</v>
      </c>
      <c r="U40">
        <f t="shared" ca="1" si="13"/>
        <v>-1</v>
      </c>
    </row>
    <row r="41" spans="1:21" x14ac:dyDescent="0.3">
      <c r="A41">
        <v>34</v>
      </c>
      <c r="B41">
        <f t="shared" ca="1" si="14"/>
        <v>1</v>
      </c>
      <c r="C41">
        <f t="shared" ref="C41:C72" ca="1" si="21">IF(B41=1,1+C40,-1+C40)</f>
        <v>4</v>
      </c>
      <c r="G41">
        <v>34</v>
      </c>
      <c r="H41">
        <f t="shared" ref="H41:H72" ca="1" si="22">L40</f>
        <v>-7</v>
      </c>
      <c r="I41">
        <f t="shared" ca="1" si="15"/>
        <v>2</v>
      </c>
      <c r="J41">
        <f t="shared" ca="1" si="16"/>
        <v>2</v>
      </c>
      <c r="K41">
        <f t="shared" ca="1" si="17"/>
        <v>1</v>
      </c>
      <c r="L41">
        <f t="shared" ref="L41:L72" ca="1" si="23">IF(K41=1,1+L40,-1+L40)</f>
        <v>-6</v>
      </c>
      <c r="N41">
        <v>34</v>
      </c>
      <c r="O41" s="81" t="str">
        <f t="shared" ca="1" si="18"/>
        <v>A</v>
      </c>
      <c r="P41">
        <f t="shared" ref="P41:P72" ca="1" si="24">U40</f>
        <v>-1</v>
      </c>
      <c r="Q41">
        <f t="shared" ca="1" si="19"/>
        <v>2</v>
      </c>
      <c r="R41">
        <f t="shared" ref="R41:R72" ca="1" si="25">IF(Q41=0,1,2)</f>
        <v>2</v>
      </c>
      <c r="S41">
        <f t="shared" ref="S41:S72" ca="1" si="26">IF(Q41=0,IF(RAND()&lt;=$H$5,1,0),IF(RAND()&lt;=$K$5,1,0))</f>
        <v>1</v>
      </c>
      <c r="T41">
        <f t="shared" ca="1" si="20"/>
        <v>1</v>
      </c>
      <c r="U41">
        <f t="shared" ref="U41:U72" ca="1" si="27">IF(T41=1,1+U40,-1+U40)</f>
        <v>0</v>
      </c>
    </row>
    <row r="42" spans="1:21" x14ac:dyDescent="0.3">
      <c r="A42">
        <v>35</v>
      </c>
      <c r="B42">
        <f t="shared" ca="1" si="14"/>
        <v>0</v>
      </c>
      <c r="C42">
        <f t="shared" ca="1" si="21"/>
        <v>3</v>
      </c>
      <c r="G42">
        <v>35</v>
      </c>
      <c r="H42">
        <f t="shared" ca="1" si="22"/>
        <v>-6</v>
      </c>
      <c r="I42">
        <f t="shared" ca="1" si="15"/>
        <v>0</v>
      </c>
      <c r="J42">
        <f t="shared" ca="1" si="16"/>
        <v>1</v>
      </c>
      <c r="K42">
        <f t="shared" ca="1" si="17"/>
        <v>0</v>
      </c>
      <c r="L42">
        <f t="shared" ca="1" si="23"/>
        <v>-7</v>
      </c>
      <c r="N42">
        <v>35</v>
      </c>
      <c r="O42" s="81" t="str">
        <f t="shared" ca="1" si="18"/>
        <v>A</v>
      </c>
      <c r="P42">
        <f t="shared" ca="1" si="24"/>
        <v>0</v>
      </c>
      <c r="Q42">
        <f t="shared" ca="1" si="19"/>
        <v>0</v>
      </c>
      <c r="R42">
        <f t="shared" ca="1" si="25"/>
        <v>1</v>
      </c>
      <c r="S42">
        <f t="shared" ca="1" si="26"/>
        <v>0</v>
      </c>
      <c r="T42">
        <f t="shared" ca="1" si="20"/>
        <v>0</v>
      </c>
      <c r="U42">
        <f t="shared" ca="1" si="27"/>
        <v>-1</v>
      </c>
    </row>
    <row r="43" spans="1:21" x14ac:dyDescent="0.3">
      <c r="A43">
        <v>36</v>
      </c>
      <c r="B43">
        <f t="shared" ca="1" si="14"/>
        <v>1</v>
      </c>
      <c r="C43">
        <f t="shared" ca="1" si="21"/>
        <v>4</v>
      </c>
      <c r="G43">
        <v>36</v>
      </c>
      <c r="H43">
        <f t="shared" ca="1" si="22"/>
        <v>-7</v>
      </c>
      <c r="I43">
        <f t="shared" ca="1" si="15"/>
        <v>2</v>
      </c>
      <c r="J43">
        <f t="shared" ca="1" si="16"/>
        <v>2</v>
      </c>
      <c r="K43">
        <f t="shared" ca="1" si="17"/>
        <v>1</v>
      </c>
      <c r="L43">
        <f t="shared" ca="1" si="23"/>
        <v>-6</v>
      </c>
      <c r="N43">
        <v>36</v>
      </c>
      <c r="O43" s="81" t="str">
        <f t="shared" ca="1" si="18"/>
        <v>B</v>
      </c>
      <c r="P43">
        <f t="shared" ca="1" si="24"/>
        <v>-1</v>
      </c>
      <c r="Q43">
        <f t="shared" ca="1" si="19"/>
        <v>2</v>
      </c>
      <c r="R43">
        <f t="shared" ca="1" si="25"/>
        <v>2</v>
      </c>
      <c r="S43">
        <f t="shared" ca="1" si="26"/>
        <v>1</v>
      </c>
      <c r="T43">
        <f t="shared" ca="1" si="20"/>
        <v>1</v>
      </c>
      <c r="U43">
        <f t="shared" ca="1" si="27"/>
        <v>0</v>
      </c>
    </row>
    <row r="44" spans="1:21" x14ac:dyDescent="0.3">
      <c r="A44">
        <v>37</v>
      </c>
      <c r="B44">
        <f t="shared" ca="1" si="14"/>
        <v>1</v>
      </c>
      <c r="C44">
        <f t="shared" ca="1" si="21"/>
        <v>5</v>
      </c>
      <c r="G44">
        <v>37</v>
      </c>
      <c r="H44">
        <f t="shared" ca="1" si="22"/>
        <v>-6</v>
      </c>
      <c r="I44">
        <f t="shared" ca="1" si="15"/>
        <v>0</v>
      </c>
      <c r="J44">
        <f t="shared" ca="1" si="16"/>
        <v>1</v>
      </c>
      <c r="K44">
        <f t="shared" ca="1" si="17"/>
        <v>0</v>
      </c>
      <c r="L44">
        <f t="shared" ca="1" si="23"/>
        <v>-7</v>
      </c>
      <c r="N44">
        <v>37</v>
      </c>
      <c r="O44" s="81" t="str">
        <f t="shared" ca="1" si="18"/>
        <v>B</v>
      </c>
      <c r="P44">
        <f t="shared" ca="1" si="24"/>
        <v>0</v>
      </c>
      <c r="Q44">
        <f t="shared" ca="1" si="19"/>
        <v>0</v>
      </c>
      <c r="R44">
        <f t="shared" ca="1" si="25"/>
        <v>1</v>
      </c>
      <c r="S44">
        <f t="shared" ca="1" si="26"/>
        <v>0</v>
      </c>
      <c r="T44">
        <f t="shared" ca="1" si="20"/>
        <v>0</v>
      </c>
      <c r="U44">
        <f t="shared" ca="1" si="27"/>
        <v>-1</v>
      </c>
    </row>
    <row r="45" spans="1:21" x14ac:dyDescent="0.3">
      <c r="A45">
        <v>38</v>
      </c>
      <c r="B45">
        <f t="shared" ca="1" si="14"/>
        <v>1</v>
      </c>
      <c r="C45">
        <f t="shared" ca="1" si="21"/>
        <v>6</v>
      </c>
      <c r="G45">
        <v>38</v>
      </c>
      <c r="H45">
        <f t="shared" ca="1" si="22"/>
        <v>-7</v>
      </c>
      <c r="I45">
        <f t="shared" ca="1" si="15"/>
        <v>2</v>
      </c>
      <c r="J45">
        <f t="shared" ca="1" si="16"/>
        <v>2</v>
      </c>
      <c r="K45">
        <f t="shared" ca="1" si="17"/>
        <v>1</v>
      </c>
      <c r="L45">
        <f t="shared" ca="1" si="23"/>
        <v>-6</v>
      </c>
      <c r="N45">
        <v>38</v>
      </c>
      <c r="O45" s="81" t="str">
        <f t="shared" ca="1" si="18"/>
        <v>B</v>
      </c>
      <c r="P45">
        <f t="shared" ca="1" si="24"/>
        <v>-1</v>
      </c>
      <c r="Q45">
        <f t="shared" ca="1" si="19"/>
        <v>2</v>
      </c>
      <c r="R45">
        <f t="shared" ca="1" si="25"/>
        <v>2</v>
      </c>
      <c r="S45">
        <f t="shared" ca="1" si="26"/>
        <v>0</v>
      </c>
      <c r="T45">
        <f t="shared" ca="1" si="20"/>
        <v>0</v>
      </c>
      <c r="U45">
        <f t="shared" ca="1" si="27"/>
        <v>-2</v>
      </c>
    </row>
    <row r="46" spans="1:21" x14ac:dyDescent="0.3">
      <c r="A46">
        <v>39</v>
      </c>
      <c r="B46">
        <f t="shared" ca="1" si="14"/>
        <v>1</v>
      </c>
      <c r="C46">
        <f t="shared" ca="1" si="21"/>
        <v>7</v>
      </c>
      <c r="G46">
        <v>39</v>
      </c>
      <c r="H46">
        <f t="shared" ca="1" si="22"/>
        <v>-6</v>
      </c>
      <c r="I46">
        <f t="shared" ca="1" si="15"/>
        <v>0</v>
      </c>
      <c r="J46">
        <f t="shared" ca="1" si="16"/>
        <v>1</v>
      </c>
      <c r="K46">
        <f t="shared" ca="1" si="17"/>
        <v>0</v>
      </c>
      <c r="L46">
        <f t="shared" ca="1" si="23"/>
        <v>-7</v>
      </c>
      <c r="N46">
        <v>39</v>
      </c>
      <c r="O46" s="81" t="str">
        <f t="shared" ca="1" si="18"/>
        <v>B</v>
      </c>
      <c r="P46">
        <f t="shared" ca="1" si="24"/>
        <v>-2</v>
      </c>
      <c r="Q46">
        <f t="shared" ca="1" si="19"/>
        <v>1</v>
      </c>
      <c r="R46">
        <f t="shared" ca="1" si="25"/>
        <v>2</v>
      </c>
      <c r="S46">
        <f t="shared" ca="1" si="26"/>
        <v>1</v>
      </c>
      <c r="T46">
        <f t="shared" ca="1" si="20"/>
        <v>1</v>
      </c>
      <c r="U46">
        <f t="shared" ca="1" si="27"/>
        <v>-1</v>
      </c>
    </row>
    <row r="47" spans="1:21" x14ac:dyDescent="0.3">
      <c r="A47">
        <v>40</v>
      </c>
      <c r="B47">
        <f t="shared" ca="1" si="14"/>
        <v>1</v>
      </c>
      <c r="C47">
        <f t="shared" ca="1" si="21"/>
        <v>8</v>
      </c>
      <c r="G47">
        <v>40</v>
      </c>
      <c r="H47">
        <f t="shared" ca="1" si="22"/>
        <v>-7</v>
      </c>
      <c r="I47">
        <f t="shared" ca="1" si="15"/>
        <v>2</v>
      </c>
      <c r="J47">
        <f t="shared" ca="1" si="16"/>
        <v>2</v>
      </c>
      <c r="K47">
        <f t="shared" ca="1" si="17"/>
        <v>1</v>
      </c>
      <c r="L47">
        <f t="shared" ca="1" si="23"/>
        <v>-6</v>
      </c>
      <c r="N47">
        <v>40</v>
      </c>
      <c r="O47" s="81" t="str">
        <f t="shared" ca="1" si="18"/>
        <v>B</v>
      </c>
      <c r="P47">
        <f t="shared" ca="1" si="24"/>
        <v>-1</v>
      </c>
      <c r="Q47">
        <f t="shared" ca="1" si="19"/>
        <v>2</v>
      </c>
      <c r="R47">
        <f t="shared" ca="1" si="25"/>
        <v>2</v>
      </c>
      <c r="S47">
        <f t="shared" ca="1" si="26"/>
        <v>0</v>
      </c>
      <c r="T47">
        <f t="shared" ca="1" si="20"/>
        <v>0</v>
      </c>
      <c r="U47">
        <f t="shared" ca="1" si="27"/>
        <v>-2</v>
      </c>
    </row>
    <row r="48" spans="1:21" x14ac:dyDescent="0.3">
      <c r="A48">
        <v>41</v>
      </c>
      <c r="B48">
        <f t="shared" ca="1" si="14"/>
        <v>1</v>
      </c>
      <c r="C48">
        <f t="shared" ca="1" si="21"/>
        <v>9</v>
      </c>
      <c r="G48">
        <v>41</v>
      </c>
      <c r="H48">
        <f t="shared" ca="1" si="22"/>
        <v>-6</v>
      </c>
      <c r="I48">
        <f t="shared" ca="1" si="15"/>
        <v>0</v>
      </c>
      <c r="J48">
        <f t="shared" ca="1" si="16"/>
        <v>1</v>
      </c>
      <c r="K48">
        <f t="shared" ca="1" si="17"/>
        <v>0</v>
      </c>
      <c r="L48">
        <f t="shared" ca="1" si="23"/>
        <v>-7</v>
      </c>
      <c r="N48">
        <v>41</v>
      </c>
      <c r="O48" s="81" t="str">
        <f t="shared" ca="1" si="18"/>
        <v>B</v>
      </c>
      <c r="P48">
        <f t="shared" ca="1" si="24"/>
        <v>-2</v>
      </c>
      <c r="Q48">
        <f t="shared" ca="1" si="19"/>
        <v>1</v>
      </c>
      <c r="R48">
        <f t="shared" ca="1" si="25"/>
        <v>2</v>
      </c>
      <c r="S48">
        <f t="shared" ca="1" si="26"/>
        <v>1</v>
      </c>
      <c r="T48">
        <f t="shared" ca="1" si="20"/>
        <v>1</v>
      </c>
      <c r="U48">
        <f t="shared" ca="1" si="27"/>
        <v>-1</v>
      </c>
    </row>
    <row r="49" spans="1:21" x14ac:dyDescent="0.3">
      <c r="A49">
        <v>42</v>
      </c>
      <c r="B49">
        <f t="shared" ca="1" si="14"/>
        <v>1</v>
      </c>
      <c r="C49">
        <f t="shared" ca="1" si="21"/>
        <v>10</v>
      </c>
      <c r="G49">
        <v>42</v>
      </c>
      <c r="H49">
        <f t="shared" ca="1" si="22"/>
        <v>-7</v>
      </c>
      <c r="I49">
        <f t="shared" ca="1" si="15"/>
        <v>2</v>
      </c>
      <c r="J49">
        <f t="shared" ca="1" si="16"/>
        <v>2</v>
      </c>
      <c r="K49">
        <f t="shared" ca="1" si="17"/>
        <v>0</v>
      </c>
      <c r="L49">
        <f t="shared" ca="1" si="23"/>
        <v>-8</v>
      </c>
      <c r="N49">
        <v>42</v>
      </c>
      <c r="O49" s="81" t="str">
        <f t="shared" ca="1" si="18"/>
        <v>A</v>
      </c>
      <c r="P49">
        <f t="shared" ca="1" si="24"/>
        <v>-1</v>
      </c>
      <c r="Q49">
        <f t="shared" ca="1" si="19"/>
        <v>2</v>
      </c>
      <c r="R49">
        <f t="shared" ca="1" si="25"/>
        <v>2</v>
      </c>
      <c r="S49">
        <f t="shared" ca="1" si="26"/>
        <v>1</v>
      </c>
      <c r="T49">
        <f t="shared" ca="1" si="20"/>
        <v>1</v>
      </c>
      <c r="U49">
        <f t="shared" ca="1" si="27"/>
        <v>0</v>
      </c>
    </row>
    <row r="50" spans="1:21" x14ac:dyDescent="0.3">
      <c r="A50">
        <v>43</v>
      </c>
      <c r="B50">
        <f t="shared" ca="1" si="14"/>
        <v>1</v>
      </c>
      <c r="C50">
        <f t="shared" ca="1" si="21"/>
        <v>11</v>
      </c>
      <c r="G50">
        <v>43</v>
      </c>
      <c r="H50">
        <f t="shared" ca="1" si="22"/>
        <v>-8</v>
      </c>
      <c r="I50">
        <f t="shared" ca="1" si="15"/>
        <v>1</v>
      </c>
      <c r="J50">
        <f t="shared" ca="1" si="16"/>
        <v>2</v>
      </c>
      <c r="K50">
        <f t="shared" ca="1" si="17"/>
        <v>0</v>
      </c>
      <c r="L50">
        <f t="shared" ca="1" si="23"/>
        <v>-9</v>
      </c>
      <c r="N50">
        <v>43</v>
      </c>
      <c r="O50" s="81" t="str">
        <f t="shared" ca="1" si="18"/>
        <v>A</v>
      </c>
      <c r="P50">
        <f t="shared" ca="1" si="24"/>
        <v>0</v>
      </c>
      <c r="Q50">
        <f t="shared" ca="1" si="19"/>
        <v>0</v>
      </c>
      <c r="R50">
        <f t="shared" ca="1" si="25"/>
        <v>1</v>
      </c>
      <c r="S50">
        <f t="shared" ca="1" si="26"/>
        <v>0</v>
      </c>
      <c r="T50">
        <f t="shared" ca="1" si="20"/>
        <v>1</v>
      </c>
      <c r="U50">
        <f t="shared" ca="1" si="27"/>
        <v>1</v>
      </c>
    </row>
    <row r="51" spans="1:21" x14ac:dyDescent="0.3">
      <c r="A51">
        <v>44</v>
      </c>
      <c r="B51">
        <f t="shared" ca="1" si="14"/>
        <v>0</v>
      </c>
      <c r="C51">
        <f t="shared" ca="1" si="21"/>
        <v>10</v>
      </c>
      <c r="G51">
        <v>44</v>
      </c>
      <c r="H51">
        <f t="shared" ca="1" si="22"/>
        <v>-9</v>
      </c>
      <c r="I51">
        <f t="shared" ca="1" si="15"/>
        <v>0</v>
      </c>
      <c r="J51">
        <f t="shared" ca="1" si="16"/>
        <v>1</v>
      </c>
      <c r="K51">
        <f t="shared" ca="1" si="17"/>
        <v>0</v>
      </c>
      <c r="L51">
        <f t="shared" ca="1" si="23"/>
        <v>-10</v>
      </c>
      <c r="N51">
        <v>44</v>
      </c>
      <c r="O51" s="81" t="str">
        <f t="shared" ca="1" si="18"/>
        <v>A</v>
      </c>
      <c r="P51">
        <f t="shared" ca="1" si="24"/>
        <v>1</v>
      </c>
      <c r="Q51">
        <f t="shared" ca="1" si="19"/>
        <v>1</v>
      </c>
      <c r="R51">
        <f t="shared" ca="1" si="25"/>
        <v>2</v>
      </c>
      <c r="S51">
        <f t="shared" ca="1" si="26"/>
        <v>1</v>
      </c>
      <c r="T51">
        <f t="shared" ca="1" si="20"/>
        <v>0</v>
      </c>
      <c r="U51">
        <f t="shared" ca="1" si="27"/>
        <v>0</v>
      </c>
    </row>
    <row r="52" spans="1:21" x14ac:dyDescent="0.3">
      <c r="A52">
        <v>45</v>
      </c>
      <c r="B52">
        <f t="shared" ca="1" si="14"/>
        <v>0</v>
      </c>
      <c r="C52">
        <f t="shared" ca="1" si="21"/>
        <v>9</v>
      </c>
      <c r="G52">
        <v>45</v>
      </c>
      <c r="H52">
        <f t="shared" ca="1" si="22"/>
        <v>-10</v>
      </c>
      <c r="I52">
        <f t="shared" ca="1" si="15"/>
        <v>2</v>
      </c>
      <c r="J52">
        <f t="shared" ca="1" si="16"/>
        <v>2</v>
      </c>
      <c r="K52">
        <f t="shared" ca="1" si="17"/>
        <v>1</v>
      </c>
      <c r="L52">
        <f t="shared" ca="1" si="23"/>
        <v>-9</v>
      </c>
      <c r="N52">
        <v>45</v>
      </c>
      <c r="O52" s="81" t="str">
        <f t="shared" ca="1" si="18"/>
        <v>A</v>
      </c>
      <c r="P52">
        <f t="shared" ca="1" si="24"/>
        <v>0</v>
      </c>
      <c r="Q52">
        <f t="shared" ca="1" si="19"/>
        <v>0</v>
      </c>
      <c r="R52">
        <f t="shared" ca="1" si="25"/>
        <v>1</v>
      </c>
      <c r="S52">
        <f t="shared" ca="1" si="26"/>
        <v>0</v>
      </c>
      <c r="T52">
        <f t="shared" ca="1" si="20"/>
        <v>0</v>
      </c>
      <c r="U52">
        <f t="shared" ca="1" si="27"/>
        <v>-1</v>
      </c>
    </row>
    <row r="53" spans="1:21" x14ac:dyDescent="0.3">
      <c r="A53">
        <v>46</v>
      </c>
      <c r="B53">
        <f t="shared" ca="1" si="14"/>
        <v>1</v>
      </c>
      <c r="C53">
        <f t="shared" ca="1" si="21"/>
        <v>10</v>
      </c>
      <c r="G53">
        <v>46</v>
      </c>
      <c r="H53">
        <f t="shared" ca="1" si="22"/>
        <v>-9</v>
      </c>
      <c r="I53">
        <f t="shared" ca="1" si="15"/>
        <v>0</v>
      </c>
      <c r="J53">
        <f t="shared" ca="1" si="16"/>
        <v>1</v>
      </c>
      <c r="K53">
        <f t="shared" ca="1" si="17"/>
        <v>0</v>
      </c>
      <c r="L53">
        <f t="shared" ca="1" si="23"/>
        <v>-10</v>
      </c>
      <c r="N53">
        <v>46</v>
      </c>
      <c r="O53" s="81" t="str">
        <f t="shared" ca="1" si="18"/>
        <v>A</v>
      </c>
      <c r="P53">
        <f t="shared" ca="1" si="24"/>
        <v>-1</v>
      </c>
      <c r="Q53">
        <f t="shared" ca="1" si="19"/>
        <v>2</v>
      </c>
      <c r="R53">
        <f t="shared" ca="1" si="25"/>
        <v>2</v>
      </c>
      <c r="S53">
        <f t="shared" ca="1" si="26"/>
        <v>1</v>
      </c>
      <c r="T53">
        <f t="shared" ca="1" si="20"/>
        <v>1</v>
      </c>
      <c r="U53">
        <f t="shared" ca="1" si="27"/>
        <v>0</v>
      </c>
    </row>
    <row r="54" spans="1:21" x14ac:dyDescent="0.3">
      <c r="A54">
        <v>47</v>
      </c>
      <c r="B54">
        <f t="shared" ca="1" si="14"/>
        <v>0</v>
      </c>
      <c r="C54">
        <f t="shared" ca="1" si="21"/>
        <v>9</v>
      </c>
      <c r="G54">
        <v>47</v>
      </c>
      <c r="H54">
        <f t="shared" ca="1" si="22"/>
        <v>-10</v>
      </c>
      <c r="I54">
        <f t="shared" ca="1" si="15"/>
        <v>2</v>
      </c>
      <c r="J54">
        <f t="shared" ca="1" si="16"/>
        <v>2</v>
      </c>
      <c r="K54">
        <f t="shared" ca="1" si="17"/>
        <v>1</v>
      </c>
      <c r="L54">
        <f t="shared" ca="1" si="23"/>
        <v>-9</v>
      </c>
      <c r="N54">
        <v>47</v>
      </c>
      <c r="O54" s="81" t="str">
        <f t="shared" ca="1" si="18"/>
        <v>B</v>
      </c>
      <c r="P54">
        <f t="shared" ca="1" si="24"/>
        <v>0</v>
      </c>
      <c r="Q54">
        <f t="shared" ca="1" si="19"/>
        <v>0</v>
      </c>
      <c r="R54">
        <f t="shared" ca="1" si="25"/>
        <v>1</v>
      </c>
      <c r="S54">
        <f t="shared" ca="1" si="26"/>
        <v>0</v>
      </c>
      <c r="T54">
        <f t="shared" ca="1" si="20"/>
        <v>0</v>
      </c>
      <c r="U54">
        <f t="shared" ca="1" si="27"/>
        <v>-1</v>
      </c>
    </row>
    <row r="55" spans="1:21" x14ac:dyDescent="0.3">
      <c r="A55">
        <v>48</v>
      </c>
      <c r="B55">
        <f t="shared" ca="1" si="14"/>
        <v>0</v>
      </c>
      <c r="C55">
        <f t="shared" ca="1" si="21"/>
        <v>8</v>
      </c>
      <c r="G55">
        <v>48</v>
      </c>
      <c r="H55">
        <f t="shared" ca="1" si="22"/>
        <v>-9</v>
      </c>
      <c r="I55">
        <f t="shared" ca="1" si="15"/>
        <v>0</v>
      </c>
      <c r="J55">
        <f t="shared" ca="1" si="16"/>
        <v>1</v>
      </c>
      <c r="K55">
        <f t="shared" ca="1" si="17"/>
        <v>0</v>
      </c>
      <c r="L55">
        <f t="shared" ca="1" si="23"/>
        <v>-10</v>
      </c>
      <c r="N55">
        <v>48</v>
      </c>
      <c r="O55" s="81" t="str">
        <f t="shared" ca="1" si="18"/>
        <v>B</v>
      </c>
      <c r="P55">
        <f t="shared" ca="1" si="24"/>
        <v>-1</v>
      </c>
      <c r="Q55">
        <f t="shared" ca="1" si="19"/>
        <v>2</v>
      </c>
      <c r="R55">
        <f t="shared" ca="1" si="25"/>
        <v>2</v>
      </c>
      <c r="S55">
        <f t="shared" ca="1" si="26"/>
        <v>1</v>
      </c>
      <c r="T55">
        <f t="shared" ca="1" si="20"/>
        <v>1</v>
      </c>
      <c r="U55">
        <f t="shared" ca="1" si="27"/>
        <v>0</v>
      </c>
    </row>
    <row r="56" spans="1:21" x14ac:dyDescent="0.3">
      <c r="A56">
        <v>49</v>
      </c>
      <c r="B56">
        <f t="shared" ca="1" si="14"/>
        <v>0</v>
      </c>
      <c r="C56">
        <f t="shared" ca="1" si="21"/>
        <v>7</v>
      </c>
      <c r="G56">
        <v>49</v>
      </c>
      <c r="H56">
        <f t="shared" ca="1" si="22"/>
        <v>-10</v>
      </c>
      <c r="I56">
        <f t="shared" ca="1" si="15"/>
        <v>2</v>
      </c>
      <c r="J56">
        <f t="shared" ca="1" si="16"/>
        <v>2</v>
      </c>
      <c r="K56">
        <f t="shared" ca="1" si="17"/>
        <v>0</v>
      </c>
      <c r="L56">
        <f t="shared" ca="1" si="23"/>
        <v>-11</v>
      </c>
      <c r="N56">
        <v>49</v>
      </c>
      <c r="O56" s="81" t="str">
        <f t="shared" ca="1" si="18"/>
        <v>A</v>
      </c>
      <c r="P56">
        <f t="shared" ca="1" si="24"/>
        <v>0</v>
      </c>
      <c r="Q56">
        <f t="shared" ca="1" si="19"/>
        <v>0</v>
      </c>
      <c r="R56">
        <f t="shared" ca="1" si="25"/>
        <v>1</v>
      </c>
      <c r="S56">
        <f t="shared" ca="1" si="26"/>
        <v>0</v>
      </c>
      <c r="T56">
        <f t="shared" ca="1" si="20"/>
        <v>0</v>
      </c>
      <c r="U56">
        <f t="shared" ca="1" si="27"/>
        <v>-1</v>
      </c>
    </row>
    <row r="57" spans="1:21" x14ac:dyDescent="0.3">
      <c r="A57">
        <v>50</v>
      </c>
      <c r="B57">
        <f t="shared" ca="1" si="14"/>
        <v>0</v>
      </c>
      <c r="C57">
        <f t="shared" ca="1" si="21"/>
        <v>6</v>
      </c>
      <c r="G57">
        <v>50</v>
      </c>
      <c r="H57">
        <f t="shared" ca="1" si="22"/>
        <v>-11</v>
      </c>
      <c r="I57">
        <f t="shared" ca="1" si="15"/>
        <v>1</v>
      </c>
      <c r="J57">
        <f t="shared" ca="1" si="16"/>
        <v>2</v>
      </c>
      <c r="K57">
        <f t="shared" ca="1" si="17"/>
        <v>1</v>
      </c>
      <c r="L57">
        <f t="shared" ca="1" si="23"/>
        <v>-10</v>
      </c>
      <c r="N57">
        <v>50</v>
      </c>
      <c r="O57" s="81" t="str">
        <f t="shared" ca="1" si="18"/>
        <v>A</v>
      </c>
      <c r="P57">
        <f t="shared" ca="1" si="24"/>
        <v>-1</v>
      </c>
      <c r="Q57">
        <f t="shared" ca="1" si="19"/>
        <v>2</v>
      </c>
      <c r="R57">
        <f t="shared" ca="1" si="25"/>
        <v>2</v>
      </c>
      <c r="S57">
        <f t="shared" ca="1" si="26"/>
        <v>1</v>
      </c>
      <c r="T57">
        <f t="shared" ca="1" si="20"/>
        <v>0</v>
      </c>
      <c r="U57">
        <f t="shared" ca="1" si="27"/>
        <v>-2</v>
      </c>
    </row>
    <row r="58" spans="1:21" x14ac:dyDescent="0.3">
      <c r="A58">
        <v>51</v>
      </c>
      <c r="B58">
        <f t="shared" ca="1" si="14"/>
        <v>1</v>
      </c>
      <c r="C58">
        <f t="shared" ca="1" si="21"/>
        <v>7</v>
      </c>
      <c r="G58">
        <v>51</v>
      </c>
      <c r="H58">
        <f t="shared" ca="1" si="22"/>
        <v>-10</v>
      </c>
      <c r="I58">
        <f t="shared" ca="1" si="15"/>
        <v>2</v>
      </c>
      <c r="J58">
        <f t="shared" ca="1" si="16"/>
        <v>2</v>
      </c>
      <c r="K58">
        <f t="shared" ca="1" si="17"/>
        <v>1</v>
      </c>
      <c r="L58">
        <f t="shared" ca="1" si="23"/>
        <v>-9</v>
      </c>
      <c r="N58">
        <v>51</v>
      </c>
      <c r="O58" s="81" t="str">
        <f t="shared" ca="1" si="18"/>
        <v>A</v>
      </c>
      <c r="P58">
        <f t="shared" ca="1" si="24"/>
        <v>-2</v>
      </c>
      <c r="Q58">
        <f t="shared" ca="1" si="19"/>
        <v>1</v>
      </c>
      <c r="R58">
        <f t="shared" ca="1" si="25"/>
        <v>2</v>
      </c>
      <c r="S58">
        <f t="shared" ca="1" si="26"/>
        <v>0</v>
      </c>
      <c r="T58">
        <f t="shared" ca="1" si="20"/>
        <v>1</v>
      </c>
      <c r="U58">
        <f t="shared" ca="1" si="27"/>
        <v>-1</v>
      </c>
    </row>
    <row r="59" spans="1:21" x14ac:dyDescent="0.3">
      <c r="A59">
        <v>52</v>
      </c>
      <c r="B59">
        <f t="shared" ca="1" si="14"/>
        <v>1</v>
      </c>
      <c r="C59">
        <f t="shared" ca="1" si="21"/>
        <v>8</v>
      </c>
      <c r="G59">
        <v>52</v>
      </c>
      <c r="H59">
        <f t="shared" ca="1" si="22"/>
        <v>-9</v>
      </c>
      <c r="I59">
        <f t="shared" ca="1" si="15"/>
        <v>0</v>
      </c>
      <c r="J59">
        <f t="shared" ca="1" si="16"/>
        <v>1</v>
      </c>
      <c r="K59">
        <f t="shared" ca="1" si="17"/>
        <v>0</v>
      </c>
      <c r="L59">
        <f t="shared" ca="1" si="23"/>
        <v>-10</v>
      </c>
      <c r="N59">
        <v>52</v>
      </c>
      <c r="O59" s="81" t="str">
        <f t="shared" ca="1" si="18"/>
        <v>B</v>
      </c>
      <c r="P59">
        <f t="shared" ca="1" si="24"/>
        <v>-1</v>
      </c>
      <c r="Q59">
        <f t="shared" ca="1" si="19"/>
        <v>2</v>
      </c>
      <c r="R59">
        <f t="shared" ca="1" si="25"/>
        <v>2</v>
      </c>
      <c r="S59">
        <f t="shared" ca="1" si="26"/>
        <v>1</v>
      </c>
      <c r="T59">
        <f t="shared" ca="1" si="20"/>
        <v>1</v>
      </c>
      <c r="U59">
        <f t="shared" ca="1" si="27"/>
        <v>0</v>
      </c>
    </row>
    <row r="60" spans="1:21" x14ac:dyDescent="0.3">
      <c r="A60">
        <v>53</v>
      </c>
      <c r="B60">
        <f t="shared" ca="1" si="14"/>
        <v>0</v>
      </c>
      <c r="C60">
        <f t="shared" ca="1" si="21"/>
        <v>7</v>
      </c>
      <c r="G60">
        <v>53</v>
      </c>
      <c r="H60">
        <f t="shared" ca="1" si="22"/>
        <v>-10</v>
      </c>
      <c r="I60">
        <f t="shared" ca="1" si="15"/>
        <v>2</v>
      </c>
      <c r="J60">
        <f t="shared" ca="1" si="16"/>
        <v>2</v>
      </c>
      <c r="K60">
        <f t="shared" ca="1" si="17"/>
        <v>0</v>
      </c>
      <c r="L60">
        <f t="shared" ca="1" si="23"/>
        <v>-11</v>
      </c>
      <c r="N60">
        <v>53</v>
      </c>
      <c r="O60" s="81" t="str">
        <f t="shared" ca="1" si="18"/>
        <v>B</v>
      </c>
      <c r="P60">
        <f t="shared" ca="1" si="24"/>
        <v>0</v>
      </c>
      <c r="Q60">
        <f t="shared" ca="1" si="19"/>
        <v>0</v>
      </c>
      <c r="R60">
        <f t="shared" ca="1" si="25"/>
        <v>1</v>
      </c>
      <c r="S60">
        <f t="shared" ca="1" si="26"/>
        <v>0</v>
      </c>
      <c r="T60">
        <f t="shared" ca="1" si="20"/>
        <v>0</v>
      </c>
      <c r="U60">
        <f t="shared" ca="1" si="27"/>
        <v>-1</v>
      </c>
    </row>
    <row r="61" spans="1:21" x14ac:dyDescent="0.3">
      <c r="A61">
        <v>54</v>
      </c>
      <c r="B61">
        <f t="shared" ca="1" si="14"/>
        <v>0</v>
      </c>
      <c r="C61">
        <f t="shared" ca="1" si="21"/>
        <v>6</v>
      </c>
      <c r="G61">
        <v>54</v>
      </c>
      <c r="H61">
        <f t="shared" ca="1" si="22"/>
        <v>-11</v>
      </c>
      <c r="I61">
        <f t="shared" ca="1" si="15"/>
        <v>1</v>
      </c>
      <c r="J61">
        <f t="shared" ca="1" si="16"/>
        <v>2</v>
      </c>
      <c r="K61">
        <f t="shared" ca="1" si="17"/>
        <v>0</v>
      </c>
      <c r="L61">
        <f t="shared" ca="1" si="23"/>
        <v>-12</v>
      </c>
      <c r="N61">
        <v>54</v>
      </c>
      <c r="O61" s="81" t="str">
        <f t="shared" ca="1" si="18"/>
        <v>B</v>
      </c>
      <c r="P61">
        <f t="shared" ca="1" si="24"/>
        <v>-1</v>
      </c>
      <c r="Q61">
        <f t="shared" ca="1" si="19"/>
        <v>2</v>
      </c>
      <c r="R61">
        <f t="shared" ca="1" si="25"/>
        <v>2</v>
      </c>
      <c r="S61">
        <f t="shared" ca="1" si="26"/>
        <v>1</v>
      </c>
      <c r="T61">
        <f t="shared" ca="1" si="20"/>
        <v>1</v>
      </c>
      <c r="U61">
        <f t="shared" ca="1" si="27"/>
        <v>0</v>
      </c>
    </row>
    <row r="62" spans="1:21" x14ac:dyDescent="0.3">
      <c r="A62">
        <v>55</v>
      </c>
      <c r="B62">
        <f t="shared" ca="1" si="14"/>
        <v>0</v>
      </c>
      <c r="C62">
        <f t="shared" ca="1" si="21"/>
        <v>5</v>
      </c>
      <c r="G62">
        <v>55</v>
      </c>
      <c r="H62">
        <f t="shared" ca="1" si="22"/>
        <v>-12</v>
      </c>
      <c r="I62">
        <f t="shared" ca="1" si="15"/>
        <v>0</v>
      </c>
      <c r="J62">
        <f t="shared" ca="1" si="16"/>
        <v>1</v>
      </c>
      <c r="K62">
        <f t="shared" ca="1" si="17"/>
        <v>0</v>
      </c>
      <c r="L62">
        <f t="shared" ca="1" si="23"/>
        <v>-13</v>
      </c>
      <c r="N62">
        <v>55</v>
      </c>
      <c r="O62" s="81" t="str">
        <f t="shared" ca="1" si="18"/>
        <v>A</v>
      </c>
      <c r="P62">
        <f t="shared" ca="1" si="24"/>
        <v>0</v>
      </c>
      <c r="Q62">
        <f t="shared" ca="1" si="19"/>
        <v>0</v>
      </c>
      <c r="R62">
        <f t="shared" ca="1" si="25"/>
        <v>1</v>
      </c>
      <c r="S62">
        <f t="shared" ca="1" si="26"/>
        <v>0</v>
      </c>
      <c r="T62">
        <f t="shared" ca="1" si="20"/>
        <v>0</v>
      </c>
      <c r="U62">
        <f t="shared" ca="1" si="27"/>
        <v>-1</v>
      </c>
    </row>
    <row r="63" spans="1:21" x14ac:dyDescent="0.3">
      <c r="A63">
        <v>56</v>
      </c>
      <c r="B63">
        <f t="shared" ca="1" si="14"/>
        <v>1</v>
      </c>
      <c r="C63">
        <f t="shared" ca="1" si="21"/>
        <v>6</v>
      </c>
      <c r="G63">
        <v>56</v>
      </c>
      <c r="H63">
        <f t="shared" ca="1" si="22"/>
        <v>-13</v>
      </c>
      <c r="I63">
        <f t="shared" ca="1" si="15"/>
        <v>2</v>
      </c>
      <c r="J63">
        <f t="shared" ca="1" si="16"/>
        <v>2</v>
      </c>
      <c r="K63">
        <f t="shared" ca="1" si="17"/>
        <v>1</v>
      </c>
      <c r="L63">
        <f t="shared" ca="1" si="23"/>
        <v>-12</v>
      </c>
      <c r="N63">
        <v>56</v>
      </c>
      <c r="O63" s="81" t="str">
        <f t="shared" ca="1" si="18"/>
        <v>B</v>
      </c>
      <c r="P63">
        <f t="shared" ca="1" si="24"/>
        <v>-1</v>
      </c>
      <c r="Q63">
        <f t="shared" ca="1" si="19"/>
        <v>2</v>
      </c>
      <c r="R63">
        <f t="shared" ca="1" si="25"/>
        <v>2</v>
      </c>
      <c r="S63">
        <f t="shared" ca="1" si="26"/>
        <v>0</v>
      </c>
      <c r="T63">
        <f t="shared" ca="1" si="20"/>
        <v>0</v>
      </c>
      <c r="U63">
        <f t="shared" ca="1" si="27"/>
        <v>-2</v>
      </c>
    </row>
    <row r="64" spans="1:21" x14ac:dyDescent="0.3">
      <c r="A64">
        <v>57</v>
      </c>
      <c r="B64">
        <f t="shared" ca="1" si="14"/>
        <v>1</v>
      </c>
      <c r="C64">
        <f t="shared" ca="1" si="21"/>
        <v>7</v>
      </c>
      <c r="G64">
        <v>57</v>
      </c>
      <c r="H64">
        <f t="shared" ca="1" si="22"/>
        <v>-12</v>
      </c>
      <c r="I64">
        <f t="shared" ca="1" si="15"/>
        <v>0</v>
      </c>
      <c r="J64">
        <f t="shared" ca="1" si="16"/>
        <v>1</v>
      </c>
      <c r="K64">
        <f t="shared" ca="1" si="17"/>
        <v>0</v>
      </c>
      <c r="L64">
        <f t="shared" ca="1" si="23"/>
        <v>-13</v>
      </c>
      <c r="N64">
        <v>57</v>
      </c>
      <c r="O64" s="81" t="str">
        <f t="shared" ca="1" si="18"/>
        <v>B</v>
      </c>
      <c r="P64">
        <f t="shared" ca="1" si="24"/>
        <v>-2</v>
      </c>
      <c r="Q64">
        <f t="shared" ca="1" si="19"/>
        <v>1</v>
      </c>
      <c r="R64">
        <f t="shared" ca="1" si="25"/>
        <v>2</v>
      </c>
      <c r="S64">
        <f t="shared" ca="1" si="26"/>
        <v>1</v>
      </c>
      <c r="T64">
        <f t="shared" ca="1" si="20"/>
        <v>1</v>
      </c>
      <c r="U64">
        <f t="shared" ca="1" si="27"/>
        <v>-1</v>
      </c>
    </row>
    <row r="65" spans="1:21" x14ac:dyDescent="0.3">
      <c r="A65">
        <v>58</v>
      </c>
      <c r="B65">
        <f t="shared" ca="1" si="14"/>
        <v>0</v>
      </c>
      <c r="C65">
        <f t="shared" ca="1" si="21"/>
        <v>6</v>
      </c>
      <c r="G65">
        <v>58</v>
      </c>
      <c r="H65">
        <f t="shared" ca="1" si="22"/>
        <v>-13</v>
      </c>
      <c r="I65">
        <f t="shared" ca="1" si="15"/>
        <v>2</v>
      </c>
      <c r="J65">
        <f t="shared" ca="1" si="16"/>
        <v>2</v>
      </c>
      <c r="K65">
        <f t="shared" ca="1" si="17"/>
        <v>1</v>
      </c>
      <c r="L65">
        <f t="shared" ca="1" si="23"/>
        <v>-12</v>
      </c>
      <c r="N65">
        <v>58</v>
      </c>
      <c r="O65" s="81" t="str">
        <f t="shared" ca="1" si="18"/>
        <v>B</v>
      </c>
      <c r="P65">
        <f t="shared" ca="1" si="24"/>
        <v>-1</v>
      </c>
      <c r="Q65">
        <f t="shared" ca="1" si="19"/>
        <v>2</v>
      </c>
      <c r="R65">
        <f t="shared" ca="1" si="25"/>
        <v>2</v>
      </c>
      <c r="S65">
        <f t="shared" ca="1" si="26"/>
        <v>1</v>
      </c>
      <c r="T65">
        <f t="shared" ca="1" si="20"/>
        <v>1</v>
      </c>
      <c r="U65">
        <f t="shared" ca="1" si="27"/>
        <v>0</v>
      </c>
    </row>
    <row r="66" spans="1:21" x14ac:dyDescent="0.3">
      <c r="A66">
        <v>59</v>
      </c>
      <c r="B66">
        <f t="shared" ca="1" si="14"/>
        <v>1</v>
      </c>
      <c r="C66">
        <f t="shared" ca="1" si="21"/>
        <v>7</v>
      </c>
      <c r="G66">
        <v>59</v>
      </c>
      <c r="H66">
        <f t="shared" ca="1" si="22"/>
        <v>-12</v>
      </c>
      <c r="I66">
        <f t="shared" ca="1" si="15"/>
        <v>0</v>
      </c>
      <c r="J66">
        <f t="shared" ca="1" si="16"/>
        <v>1</v>
      </c>
      <c r="K66">
        <f t="shared" ca="1" si="17"/>
        <v>0</v>
      </c>
      <c r="L66">
        <f t="shared" ca="1" si="23"/>
        <v>-13</v>
      </c>
      <c r="N66">
        <v>59</v>
      </c>
      <c r="O66" s="81" t="str">
        <f t="shared" ca="1" si="18"/>
        <v>B</v>
      </c>
      <c r="P66">
        <f t="shared" ca="1" si="24"/>
        <v>0</v>
      </c>
      <c r="Q66">
        <f t="shared" ca="1" si="19"/>
        <v>0</v>
      </c>
      <c r="R66">
        <f t="shared" ca="1" si="25"/>
        <v>1</v>
      </c>
      <c r="S66">
        <f t="shared" ca="1" si="26"/>
        <v>1</v>
      </c>
      <c r="T66">
        <f t="shared" ca="1" si="20"/>
        <v>1</v>
      </c>
      <c r="U66">
        <f t="shared" ca="1" si="27"/>
        <v>1</v>
      </c>
    </row>
    <row r="67" spans="1:21" x14ac:dyDescent="0.3">
      <c r="A67">
        <v>60</v>
      </c>
      <c r="B67">
        <f t="shared" ca="1" si="14"/>
        <v>0</v>
      </c>
      <c r="C67">
        <f t="shared" ca="1" si="21"/>
        <v>6</v>
      </c>
      <c r="G67">
        <v>60</v>
      </c>
      <c r="H67">
        <f t="shared" ca="1" si="22"/>
        <v>-13</v>
      </c>
      <c r="I67">
        <f t="shared" ca="1" si="15"/>
        <v>2</v>
      </c>
      <c r="J67">
        <f t="shared" ca="1" si="16"/>
        <v>2</v>
      </c>
      <c r="K67">
        <f t="shared" ca="1" si="17"/>
        <v>1</v>
      </c>
      <c r="L67">
        <f t="shared" ca="1" si="23"/>
        <v>-12</v>
      </c>
      <c r="N67">
        <v>60</v>
      </c>
      <c r="O67" s="81" t="str">
        <f t="shared" ca="1" si="18"/>
        <v>B</v>
      </c>
      <c r="P67">
        <f t="shared" ca="1" si="24"/>
        <v>1</v>
      </c>
      <c r="Q67">
        <f t="shared" ca="1" si="19"/>
        <v>1</v>
      </c>
      <c r="R67">
        <f t="shared" ca="1" si="25"/>
        <v>2</v>
      </c>
      <c r="S67">
        <f t="shared" ca="1" si="26"/>
        <v>1</v>
      </c>
      <c r="T67">
        <f t="shared" ca="1" si="20"/>
        <v>1</v>
      </c>
      <c r="U67">
        <f t="shared" ca="1" si="27"/>
        <v>2</v>
      </c>
    </row>
    <row r="68" spans="1:21" x14ac:dyDescent="0.3">
      <c r="A68">
        <v>61</v>
      </c>
      <c r="B68">
        <f t="shared" ca="1" si="14"/>
        <v>0</v>
      </c>
      <c r="C68">
        <f t="shared" ca="1" si="21"/>
        <v>5</v>
      </c>
      <c r="G68">
        <v>61</v>
      </c>
      <c r="H68">
        <f t="shared" ca="1" si="22"/>
        <v>-12</v>
      </c>
      <c r="I68">
        <f t="shared" ca="1" si="15"/>
        <v>0</v>
      </c>
      <c r="J68">
        <f t="shared" ca="1" si="16"/>
        <v>1</v>
      </c>
      <c r="K68">
        <f t="shared" ca="1" si="17"/>
        <v>0</v>
      </c>
      <c r="L68">
        <f t="shared" ca="1" si="23"/>
        <v>-13</v>
      </c>
      <c r="N68">
        <v>61</v>
      </c>
      <c r="O68" s="81" t="str">
        <f t="shared" ca="1" si="18"/>
        <v>A</v>
      </c>
      <c r="P68">
        <f t="shared" ca="1" si="24"/>
        <v>2</v>
      </c>
      <c r="Q68">
        <f t="shared" ca="1" si="19"/>
        <v>2</v>
      </c>
      <c r="R68">
        <f t="shared" ca="1" si="25"/>
        <v>2</v>
      </c>
      <c r="S68">
        <f t="shared" ca="1" si="26"/>
        <v>1</v>
      </c>
      <c r="T68">
        <f t="shared" ca="1" si="20"/>
        <v>0</v>
      </c>
      <c r="U68">
        <f t="shared" ca="1" si="27"/>
        <v>1</v>
      </c>
    </row>
    <row r="69" spans="1:21" x14ac:dyDescent="0.3">
      <c r="A69">
        <v>62</v>
      </c>
      <c r="B69">
        <f t="shared" ca="1" si="14"/>
        <v>0</v>
      </c>
      <c r="C69">
        <f t="shared" ca="1" si="21"/>
        <v>4</v>
      </c>
      <c r="G69">
        <v>62</v>
      </c>
      <c r="H69">
        <f t="shared" ca="1" si="22"/>
        <v>-13</v>
      </c>
      <c r="I69">
        <f t="shared" ca="1" si="15"/>
        <v>2</v>
      </c>
      <c r="J69">
        <f t="shared" ca="1" si="16"/>
        <v>2</v>
      </c>
      <c r="K69">
        <f t="shared" ca="1" si="17"/>
        <v>1</v>
      </c>
      <c r="L69">
        <f t="shared" ca="1" si="23"/>
        <v>-12</v>
      </c>
      <c r="N69">
        <v>62</v>
      </c>
      <c r="O69" s="81" t="str">
        <f t="shared" ca="1" si="18"/>
        <v>A</v>
      </c>
      <c r="P69">
        <f t="shared" ca="1" si="24"/>
        <v>1</v>
      </c>
      <c r="Q69">
        <f t="shared" ca="1" si="19"/>
        <v>1</v>
      </c>
      <c r="R69">
        <f t="shared" ca="1" si="25"/>
        <v>2</v>
      </c>
      <c r="S69">
        <f t="shared" ca="1" si="26"/>
        <v>1</v>
      </c>
      <c r="T69">
        <f t="shared" ca="1" si="20"/>
        <v>0</v>
      </c>
      <c r="U69">
        <f t="shared" ca="1" si="27"/>
        <v>0</v>
      </c>
    </row>
    <row r="70" spans="1:21" x14ac:dyDescent="0.3">
      <c r="A70">
        <v>63</v>
      </c>
      <c r="B70">
        <f t="shared" ca="1" si="14"/>
        <v>1</v>
      </c>
      <c r="C70">
        <f t="shared" ca="1" si="21"/>
        <v>5</v>
      </c>
      <c r="G70">
        <v>63</v>
      </c>
      <c r="H70">
        <f t="shared" ca="1" si="22"/>
        <v>-12</v>
      </c>
      <c r="I70">
        <f t="shared" ca="1" si="15"/>
        <v>0</v>
      </c>
      <c r="J70">
        <f t="shared" ca="1" si="16"/>
        <v>1</v>
      </c>
      <c r="K70">
        <f t="shared" ca="1" si="17"/>
        <v>0</v>
      </c>
      <c r="L70">
        <f t="shared" ca="1" si="23"/>
        <v>-13</v>
      </c>
      <c r="N70">
        <v>63</v>
      </c>
      <c r="O70" s="81" t="str">
        <f t="shared" ca="1" si="18"/>
        <v>B</v>
      </c>
      <c r="P70">
        <f t="shared" ca="1" si="24"/>
        <v>0</v>
      </c>
      <c r="Q70">
        <f t="shared" ca="1" si="19"/>
        <v>0</v>
      </c>
      <c r="R70">
        <f t="shared" ca="1" si="25"/>
        <v>1</v>
      </c>
      <c r="S70">
        <f t="shared" ca="1" si="26"/>
        <v>0</v>
      </c>
      <c r="T70">
        <f t="shared" ca="1" si="20"/>
        <v>0</v>
      </c>
      <c r="U70">
        <f t="shared" ca="1" si="27"/>
        <v>-1</v>
      </c>
    </row>
    <row r="71" spans="1:21" x14ac:dyDescent="0.3">
      <c r="A71">
        <v>64</v>
      </c>
      <c r="B71">
        <f t="shared" ca="1" si="14"/>
        <v>1</v>
      </c>
      <c r="C71">
        <f t="shared" ca="1" si="21"/>
        <v>6</v>
      </c>
      <c r="G71">
        <v>64</v>
      </c>
      <c r="H71">
        <f t="shared" ca="1" si="22"/>
        <v>-13</v>
      </c>
      <c r="I71">
        <f t="shared" ca="1" si="15"/>
        <v>2</v>
      </c>
      <c r="J71">
        <f t="shared" ca="1" si="16"/>
        <v>2</v>
      </c>
      <c r="K71">
        <f t="shared" ca="1" si="17"/>
        <v>0</v>
      </c>
      <c r="L71">
        <f t="shared" ca="1" si="23"/>
        <v>-14</v>
      </c>
      <c r="N71">
        <v>64</v>
      </c>
      <c r="O71" s="81" t="str">
        <f t="shared" ca="1" si="18"/>
        <v>B</v>
      </c>
      <c r="P71">
        <f t="shared" ca="1" si="24"/>
        <v>-1</v>
      </c>
      <c r="Q71">
        <f t="shared" ca="1" si="19"/>
        <v>2</v>
      </c>
      <c r="R71">
        <f t="shared" ca="1" si="25"/>
        <v>2</v>
      </c>
      <c r="S71">
        <f t="shared" ca="1" si="26"/>
        <v>0</v>
      </c>
      <c r="T71">
        <f t="shared" ca="1" si="20"/>
        <v>0</v>
      </c>
      <c r="U71">
        <f t="shared" ca="1" si="27"/>
        <v>-2</v>
      </c>
    </row>
    <row r="72" spans="1:21" x14ac:dyDescent="0.3">
      <c r="A72">
        <v>65</v>
      </c>
      <c r="B72">
        <f t="shared" ref="B72:B107" ca="1" si="28">IF(RAND()&lt;=$B$5,1,0)</f>
        <v>1</v>
      </c>
      <c r="C72">
        <f t="shared" ca="1" si="21"/>
        <v>7</v>
      </c>
      <c r="G72">
        <v>65</v>
      </c>
      <c r="H72">
        <f t="shared" ca="1" si="22"/>
        <v>-14</v>
      </c>
      <c r="I72">
        <f t="shared" ref="I72:I103" ca="1" si="29">MOD(H72,3)</f>
        <v>1</v>
      </c>
      <c r="J72">
        <f t="shared" ref="J72:J103" ca="1" si="30">IF(I72=0,1,2)</f>
        <v>2</v>
      </c>
      <c r="K72">
        <f t="shared" ref="K72:K107" ca="1" si="31">IF(I72=0,IF(RAND()&lt;=$H$5,1,0),IF(RAND()&lt;=$K$5,1,0))</f>
        <v>0</v>
      </c>
      <c r="L72">
        <f t="shared" ca="1" si="23"/>
        <v>-15</v>
      </c>
      <c r="N72">
        <v>65</v>
      </c>
      <c r="O72" s="81" t="str">
        <f t="shared" ref="O72:O107" ca="1" si="32">IF(RAND()&lt;=0.5,"A","B")</f>
        <v>A</v>
      </c>
      <c r="P72">
        <f t="shared" ca="1" si="24"/>
        <v>-2</v>
      </c>
      <c r="Q72">
        <f t="shared" ref="Q72:Q103" ca="1" si="33">MOD(P72,3)</f>
        <v>1</v>
      </c>
      <c r="R72">
        <f t="shared" ca="1" si="25"/>
        <v>2</v>
      </c>
      <c r="S72">
        <f t="shared" ca="1" si="26"/>
        <v>1</v>
      </c>
      <c r="T72">
        <f t="shared" ref="T72:T103" ca="1" si="34">IF(O72="A",B72,S72)</f>
        <v>1</v>
      </c>
      <c r="U72">
        <f t="shared" ca="1" si="27"/>
        <v>-1</v>
      </c>
    </row>
    <row r="73" spans="1:21" x14ac:dyDescent="0.3">
      <c r="A73">
        <v>66</v>
      </c>
      <c r="B73">
        <f t="shared" ca="1" si="28"/>
        <v>1</v>
      </c>
      <c r="C73">
        <f t="shared" ref="C73:C104" ca="1" si="35">IF(B73=1,1+C72,-1+C72)</f>
        <v>8</v>
      </c>
      <c r="G73">
        <v>66</v>
      </c>
      <c r="H73">
        <f t="shared" ref="H73:H107" ca="1" si="36">L72</f>
        <v>-15</v>
      </c>
      <c r="I73">
        <f t="shared" ca="1" si="29"/>
        <v>0</v>
      </c>
      <c r="J73">
        <f t="shared" ca="1" si="30"/>
        <v>1</v>
      </c>
      <c r="K73">
        <f t="shared" ca="1" si="31"/>
        <v>0</v>
      </c>
      <c r="L73">
        <f t="shared" ref="L73:L104" ca="1" si="37">IF(K73=1,1+L72,-1+L72)</f>
        <v>-16</v>
      </c>
      <c r="N73">
        <v>66</v>
      </c>
      <c r="O73" s="81" t="str">
        <f t="shared" ca="1" si="32"/>
        <v>B</v>
      </c>
      <c r="P73">
        <f t="shared" ref="P73:P107" ca="1" si="38">U72</f>
        <v>-1</v>
      </c>
      <c r="Q73">
        <f t="shared" ca="1" si="33"/>
        <v>2</v>
      </c>
      <c r="R73">
        <f t="shared" ref="R73:R104" ca="1" si="39">IF(Q73=0,1,2)</f>
        <v>2</v>
      </c>
      <c r="S73">
        <f t="shared" ref="S73:S107" ca="1" si="40">IF(Q73=0,IF(RAND()&lt;=$H$5,1,0),IF(RAND()&lt;=$K$5,1,0))</f>
        <v>0</v>
      </c>
      <c r="T73">
        <f t="shared" ca="1" si="34"/>
        <v>0</v>
      </c>
      <c r="U73">
        <f t="shared" ref="U73:U104" ca="1" si="41">IF(T73=1,1+U72,-1+U72)</f>
        <v>-2</v>
      </c>
    </row>
    <row r="74" spans="1:21" x14ac:dyDescent="0.3">
      <c r="A74">
        <v>67</v>
      </c>
      <c r="B74">
        <f t="shared" ca="1" si="28"/>
        <v>0</v>
      </c>
      <c r="C74">
        <f t="shared" ca="1" si="35"/>
        <v>7</v>
      </c>
      <c r="G74">
        <v>67</v>
      </c>
      <c r="H74">
        <f t="shared" ca="1" si="36"/>
        <v>-16</v>
      </c>
      <c r="I74">
        <f t="shared" ca="1" si="29"/>
        <v>2</v>
      </c>
      <c r="J74">
        <f t="shared" ca="1" si="30"/>
        <v>2</v>
      </c>
      <c r="K74">
        <f t="shared" ca="1" si="31"/>
        <v>0</v>
      </c>
      <c r="L74">
        <f t="shared" ca="1" si="37"/>
        <v>-17</v>
      </c>
      <c r="N74">
        <v>67</v>
      </c>
      <c r="O74" s="81" t="str">
        <f t="shared" ca="1" si="32"/>
        <v>B</v>
      </c>
      <c r="P74">
        <f t="shared" ca="1" si="38"/>
        <v>-2</v>
      </c>
      <c r="Q74">
        <f t="shared" ca="1" si="33"/>
        <v>1</v>
      </c>
      <c r="R74">
        <f t="shared" ca="1" si="39"/>
        <v>2</v>
      </c>
      <c r="S74">
        <f t="shared" ca="1" si="40"/>
        <v>1</v>
      </c>
      <c r="T74">
        <f t="shared" ca="1" si="34"/>
        <v>1</v>
      </c>
      <c r="U74">
        <f t="shared" ca="1" si="41"/>
        <v>-1</v>
      </c>
    </row>
    <row r="75" spans="1:21" x14ac:dyDescent="0.3">
      <c r="A75">
        <v>68</v>
      </c>
      <c r="B75">
        <f t="shared" ca="1" si="28"/>
        <v>0</v>
      </c>
      <c r="C75">
        <f t="shared" ca="1" si="35"/>
        <v>6</v>
      </c>
      <c r="G75">
        <v>68</v>
      </c>
      <c r="H75">
        <f t="shared" ca="1" si="36"/>
        <v>-17</v>
      </c>
      <c r="I75">
        <f t="shared" ca="1" si="29"/>
        <v>1</v>
      </c>
      <c r="J75">
        <f t="shared" ca="1" si="30"/>
        <v>2</v>
      </c>
      <c r="K75">
        <f t="shared" ca="1" si="31"/>
        <v>1</v>
      </c>
      <c r="L75">
        <f t="shared" ca="1" si="37"/>
        <v>-16</v>
      </c>
      <c r="N75">
        <v>68</v>
      </c>
      <c r="O75" s="81" t="str">
        <f t="shared" ca="1" si="32"/>
        <v>B</v>
      </c>
      <c r="P75">
        <f t="shared" ca="1" si="38"/>
        <v>-1</v>
      </c>
      <c r="Q75">
        <f t="shared" ca="1" si="33"/>
        <v>2</v>
      </c>
      <c r="R75">
        <f t="shared" ca="1" si="39"/>
        <v>2</v>
      </c>
      <c r="S75">
        <f t="shared" ca="1" si="40"/>
        <v>0</v>
      </c>
      <c r="T75">
        <f t="shared" ca="1" si="34"/>
        <v>0</v>
      </c>
      <c r="U75">
        <f t="shared" ca="1" si="41"/>
        <v>-2</v>
      </c>
    </row>
    <row r="76" spans="1:21" x14ac:dyDescent="0.3">
      <c r="A76">
        <v>69</v>
      </c>
      <c r="B76">
        <f t="shared" ca="1" si="28"/>
        <v>0</v>
      </c>
      <c r="C76">
        <f t="shared" ca="1" si="35"/>
        <v>5</v>
      </c>
      <c r="G76">
        <v>69</v>
      </c>
      <c r="H76">
        <f t="shared" ca="1" si="36"/>
        <v>-16</v>
      </c>
      <c r="I76">
        <f t="shared" ca="1" si="29"/>
        <v>2</v>
      </c>
      <c r="J76">
        <f t="shared" ca="1" si="30"/>
        <v>2</v>
      </c>
      <c r="K76">
        <f t="shared" ca="1" si="31"/>
        <v>1</v>
      </c>
      <c r="L76">
        <f t="shared" ca="1" si="37"/>
        <v>-15</v>
      </c>
      <c r="N76">
        <v>69</v>
      </c>
      <c r="O76" s="81" t="str">
        <f t="shared" ca="1" si="32"/>
        <v>A</v>
      </c>
      <c r="P76">
        <f t="shared" ca="1" si="38"/>
        <v>-2</v>
      </c>
      <c r="Q76">
        <f t="shared" ca="1" si="33"/>
        <v>1</v>
      </c>
      <c r="R76">
        <f t="shared" ca="1" si="39"/>
        <v>2</v>
      </c>
      <c r="S76">
        <f t="shared" ca="1" si="40"/>
        <v>1</v>
      </c>
      <c r="T76">
        <f t="shared" ca="1" si="34"/>
        <v>0</v>
      </c>
      <c r="U76">
        <f t="shared" ca="1" si="41"/>
        <v>-3</v>
      </c>
    </row>
    <row r="77" spans="1:21" x14ac:dyDescent="0.3">
      <c r="A77">
        <v>70</v>
      </c>
      <c r="B77">
        <f t="shared" ca="1" si="28"/>
        <v>1</v>
      </c>
      <c r="C77">
        <f t="shared" ca="1" si="35"/>
        <v>6</v>
      </c>
      <c r="G77">
        <v>70</v>
      </c>
      <c r="H77">
        <f t="shared" ca="1" si="36"/>
        <v>-15</v>
      </c>
      <c r="I77">
        <f t="shared" ca="1" si="29"/>
        <v>0</v>
      </c>
      <c r="J77">
        <f t="shared" ca="1" si="30"/>
        <v>1</v>
      </c>
      <c r="K77">
        <f t="shared" ca="1" si="31"/>
        <v>0</v>
      </c>
      <c r="L77">
        <f t="shared" ca="1" si="37"/>
        <v>-16</v>
      </c>
      <c r="N77">
        <v>70</v>
      </c>
      <c r="O77" s="81" t="str">
        <f t="shared" ca="1" si="32"/>
        <v>A</v>
      </c>
      <c r="P77">
        <f t="shared" ca="1" si="38"/>
        <v>-3</v>
      </c>
      <c r="Q77">
        <f t="shared" ca="1" si="33"/>
        <v>0</v>
      </c>
      <c r="R77">
        <f t="shared" ca="1" si="39"/>
        <v>1</v>
      </c>
      <c r="S77">
        <f t="shared" ca="1" si="40"/>
        <v>0</v>
      </c>
      <c r="T77">
        <f t="shared" ca="1" si="34"/>
        <v>1</v>
      </c>
      <c r="U77">
        <f t="shared" ca="1" si="41"/>
        <v>-2</v>
      </c>
    </row>
    <row r="78" spans="1:21" x14ac:dyDescent="0.3">
      <c r="A78">
        <v>71</v>
      </c>
      <c r="B78">
        <f t="shared" ca="1" si="28"/>
        <v>1</v>
      </c>
      <c r="C78">
        <f t="shared" ca="1" si="35"/>
        <v>7</v>
      </c>
      <c r="G78">
        <v>71</v>
      </c>
      <c r="H78">
        <f t="shared" ca="1" si="36"/>
        <v>-16</v>
      </c>
      <c r="I78">
        <f t="shared" ca="1" si="29"/>
        <v>2</v>
      </c>
      <c r="J78">
        <f t="shared" ca="1" si="30"/>
        <v>2</v>
      </c>
      <c r="K78">
        <f t="shared" ca="1" si="31"/>
        <v>0</v>
      </c>
      <c r="L78">
        <f t="shared" ca="1" si="37"/>
        <v>-17</v>
      </c>
      <c r="N78">
        <v>71</v>
      </c>
      <c r="O78" s="81" t="str">
        <f t="shared" ca="1" si="32"/>
        <v>A</v>
      </c>
      <c r="P78">
        <f t="shared" ca="1" si="38"/>
        <v>-2</v>
      </c>
      <c r="Q78">
        <f t="shared" ca="1" si="33"/>
        <v>1</v>
      </c>
      <c r="R78">
        <f t="shared" ca="1" si="39"/>
        <v>2</v>
      </c>
      <c r="S78">
        <f t="shared" ca="1" si="40"/>
        <v>1</v>
      </c>
      <c r="T78">
        <f t="shared" ca="1" si="34"/>
        <v>1</v>
      </c>
      <c r="U78">
        <f t="shared" ca="1" si="41"/>
        <v>-1</v>
      </c>
    </row>
    <row r="79" spans="1:21" x14ac:dyDescent="0.3">
      <c r="A79">
        <v>72</v>
      </c>
      <c r="B79">
        <f t="shared" ca="1" si="28"/>
        <v>0</v>
      </c>
      <c r="C79">
        <f t="shared" ca="1" si="35"/>
        <v>6</v>
      </c>
      <c r="G79">
        <v>72</v>
      </c>
      <c r="H79">
        <f t="shared" ca="1" si="36"/>
        <v>-17</v>
      </c>
      <c r="I79">
        <f t="shared" ca="1" si="29"/>
        <v>1</v>
      </c>
      <c r="J79">
        <f t="shared" ca="1" si="30"/>
        <v>2</v>
      </c>
      <c r="K79">
        <f t="shared" ca="1" si="31"/>
        <v>0</v>
      </c>
      <c r="L79">
        <f t="shared" ca="1" si="37"/>
        <v>-18</v>
      </c>
      <c r="N79">
        <v>72</v>
      </c>
      <c r="O79" s="81" t="str">
        <f t="shared" ca="1" si="32"/>
        <v>B</v>
      </c>
      <c r="P79">
        <f t="shared" ca="1" si="38"/>
        <v>-1</v>
      </c>
      <c r="Q79">
        <f t="shared" ca="1" si="33"/>
        <v>2</v>
      </c>
      <c r="R79">
        <f t="shared" ca="1" si="39"/>
        <v>2</v>
      </c>
      <c r="S79">
        <f t="shared" ca="1" si="40"/>
        <v>1</v>
      </c>
      <c r="T79">
        <f t="shared" ca="1" si="34"/>
        <v>1</v>
      </c>
      <c r="U79">
        <f t="shared" ca="1" si="41"/>
        <v>0</v>
      </c>
    </row>
    <row r="80" spans="1:21" x14ac:dyDescent="0.3">
      <c r="A80">
        <v>73</v>
      </c>
      <c r="B80">
        <f t="shared" ca="1" si="28"/>
        <v>0</v>
      </c>
      <c r="C80">
        <f t="shared" ca="1" si="35"/>
        <v>5</v>
      </c>
      <c r="G80">
        <v>73</v>
      </c>
      <c r="H80">
        <f t="shared" ca="1" si="36"/>
        <v>-18</v>
      </c>
      <c r="I80">
        <f t="shared" ca="1" si="29"/>
        <v>0</v>
      </c>
      <c r="J80">
        <f t="shared" ca="1" si="30"/>
        <v>1</v>
      </c>
      <c r="K80">
        <f t="shared" ca="1" si="31"/>
        <v>0</v>
      </c>
      <c r="L80">
        <f t="shared" ca="1" si="37"/>
        <v>-19</v>
      </c>
      <c r="N80">
        <v>73</v>
      </c>
      <c r="O80" s="81" t="str">
        <f t="shared" ca="1" si="32"/>
        <v>A</v>
      </c>
      <c r="P80">
        <f t="shared" ca="1" si="38"/>
        <v>0</v>
      </c>
      <c r="Q80">
        <f t="shared" ca="1" si="33"/>
        <v>0</v>
      </c>
      <c r="R80">
        <f t="shared" ca="1" si="39"/>
        <v>1</v>
      </c>
      <c r="S80">
        <f t="shared" ca="1" si="40"/>
        <v>0</v>
      </c>
      <c r="T80">
        <f t="shared" ca="1" si="34"/>
        <v>0</v>
      </c>
      <c r="U80">
        <f t="shared" ca="1" si="41"/>
        <v>-1</v>
      </c>
    </row>
    <row r="81" spans="1:21" x14ac:dyDescent="0.3">
      <c r="A81">
        <v>74</v>
      </c>
      <c r="B81">
        <f t="shared" ca="1" si="28"/>
        <v>0</v>
      </c>
      <c r="C81">
        <f t="shared" ca="1" si="35"/>
        <v>4</v>
      </c>
      <c r="G81">
        <v>74</v>
      </c>
      <c r="H81">
        <f t="shared" ca="1" si="36"/>
        <v>-19</v>
      </c>
      <c r="I81">
        <f t="shared" ca="1" si="29"/>
        <v>2</v>
      </c>
      <c r="J81">
        <f t="shared" ca="1" si="30"/>
        <v>2</v>
      </c>
      <c r="K81">
        <f t="shared" ca="1" si="31"/>
        <v>1</v>
      </c>
      <c r="L81">
        <f t="shared" ca="1" si="37"/>
        <v>-18</v>
      </c>
      <c r="N81">
        <v>74</v>
      </c>
      <c r="O81" s="81" t="str">
        <f t="shared" ca="1" si="32"/>
        <v>B</v>
      </c>
      <c r="P81">
        <f t="shared" ca="1" si="38"/>
        <v>-1</v>
      </c>
      <c r="Q81">
        <f t="shared" ca="1" si="33"/>
        <v>2</v>
      </c>
      <c r="R81">
        <f t="shared" ca="1" si="39"/>
        <v>2</v>
      </c>
      <c r="S81">
        <f t="shared" ca="1" si="40"/>
        <v>1</v>
      </c>
      <c r="T81">
        <f t="shared" ca="1" si="34"/>
        <v>1</v>
      </c>
      <c r="U81">
        <f t="shared" ca="1" si="41"/>
        <v>0</v>
      </c>
    </row>
    <row r="82" spans="1:21" x14ac:dyDescent="0.3">
      <c r="A82">
        <v>75</v>
      </c>
      <c r="B82">
        <f t="shared" ca="1" si="28"/>
        <v>1</v>
      </c>
      <c r="C82">
        <f t="shared" ca="1" si="35"/>
        <v>5</v>
      </c>
      <c r="G82">
        <v>75</v>
      </c>
      <c r="H82">
        <f t="shared" ca="1" si="36"/>
        <v>-18</v>
      </c>
      <c r="I82">
        <f t="shared" ca="1" si="29"/>
        <v>0</v>
      </c>
      <c r="J82">
        <f t="shared" ca="1" si="30"/>
        <v>1</v>
      </c>
      <c r="K82">
        <f t="shared" ca="1" si="31"/>
        <v>0</v>
      </c>
      <c r="L82">
        <f t="shared" ca="1" si="37"/>
        <v>-19</v>
      </c>
      <c r="N82">
        <v>75</v>
      </c>
      <c r="O82" s="81" t="str">
        <f t="shared" ca="1" si="32"/>
        <v>B</v>
      </c>
      <c r="P82">
        <f t="shared" ca="1" si="38"/>
        <v>0</v>
      </c>
      <c r="Q82">
        <f t="shared" ca="1" si="33"/>
        <v>0</v>
      </c>
      <c r="R82">
        <f t="shared" ca="1" si="39"/>
        <v>1</v>
      </c>
      <c r="S82">
        <f t="shared" ca="1" si="40"/>
        <v>0</v>
      </c>
      <c r="T82">
        <f t="shared" ca="1" si="34"/>
        <v>0</v>
      </c>
      <c r="U82">
        <f t="shared" ca="1" si="41"/>
        <v>-1</v>
      </c>
    </row>
    <row r="83" spans="1:21" x14ac:dyDescent="0.3">
      <c r="A83">
        <v>76</v>
      </c>
      <c r="B83">
        <f t="shared" ca="1" si="28"/>
        <v>1</v>
      </c>
      <c r="C83">
        <f t="shared" ca="1" si="35"/>
        <v>6</v>
      </c>
      <c r="G83">
        <v>76</v>
      </c>
      <c r="H83">
        <f t="shared" ca="1" si="36"/>
        <v>-19</v>
      </c>
      <c r="I83">
        <f t="shared" ca="1" si="29"/>
        <v>2</v>
      </c>
      <c r="J83">
        <f t="shared" ca="1" si="30"/>
        <v>2</v>
      </c>
      <c r="K83">
        <f t="shared" ca="1" si="31"/>
        <v>1</v>
      </c>
      <c r="L83">
        <f t="shared" ca="1" si="37"/>
        <v>-18</v>
      </c>
      <c r="N83">
        <v>76</v>
      </c>
      <c r="O83" s="81" t="str">
        <f t="shared" ca="1" si="32"/>
        <v>A</v>
      </c>
      <c r="P83">
        <f t="shared" ca="1" si="38"/>
        <v>-1</v>
      </c>
      <c r="Q83">
        <f t="shared" ca="1" si="33"/>
        <v>2</v>
      </c>
      <c r="R83">
        <f t="shared" ca="1" si="39"/>
        <v>2</v>
      </c>
      <c r="S83">
        <f t="shared" ca="1" si="40"/>
        <v>1</v>
      </c>
      <c r="T83">
        <f t="shared" ca="1" si="34"/>
        <v>1</v>
      </c>
      <c r="U83">
        <f t="shared" ca="1" si="41"/>
        <v>0</v>
      </c>
    </row>
    <row r="84" spans="1:21" x14ac:dyDescent="0.3">
      <c r="A84">
        <v>77</v>
      </c>
      <c r="B84">
        <f t="shared" ca="1" si="28"/>
        <v>0</v>
      </c>
      <c r="C84">
        <f t="shared" ca="1" si="35"/>
        <v>5</v>
      </c>
      <c r="G84">
        <v>77</v>
      </c>
      <c r="H84">
        <f t="shared" ca="1" si="36"/>
        <v>-18</v>
      </c>
      <c r="I84">
        <f t="shared" ca="1" si="29"/>
        <v>0</v>
      </c>
      <c r="J84">
        <f t="shared" ca="1" si="30"/>
        <v>1</v>
      </c>
      <c r="K84">
        <f t="shared" ca="1" si="31"/>
        <v>0</v>
      </c>
      <c r="L84">
        <f t="shared" ca="1" si="37"/>
        <v>-19</v>
      </c>
      <c r="N84">
        <v>77</v>
      </c>
      <c r="O84" s="81" t="str">
        <f t="shared" ca="1" si="32"/>
        <v>A</v>
      </c>
      <c r="P84">
        <f t="shared" ca="1" si="38"/>
        <v>0</v>
      </c>
      <c r="Q84">
        <f t="shared" ca="1" si="33"/>
        <v>0</v>
      </c>
      <c r="R84">
        <f t="shared" ca="1" si="39"/>
        <v>1</v>
      </c>
      <c r="S84">
        <f t="shared" ca="1" si="40"/>
        <v>1</v>
      </c>
      <c r="T84">
        <f t="shared" ca="1" si="34"/>
        <v>0</v>
      </c>
      <c r="U84">
        <f t="shared" ca="1" si="41"/>
        <v>-1</v>
      </c>
    </row>
    <row r="85" spans="1:21" x14ac:dyDescent="0.3">
      <c r="A85">
        <v>78</v>
      </c>
      <c r="B85">
        <f t="shared" ca="1" si="28"/>
        <v>0</v>
      </c>
      <c r="C85">
        <f t="shared" ca="1" si="35"/>
        <v>4</v>
      </c>
      <c r="G85">
        <v>78</v>
      </c>
      <c r="H85">
        <f t="shared" ca="1" si="36"/>
        <v>-19</v>
      </c>
      <c r="I85">
        <f t="shared" ca="1" si="29"/>
        <v>2</v>
      </c>
      <c r="J85">
        <f t="shared" ca="1" si="30"/>
        <v>2</v>
      </c>
      <c r="K85">
        <f t="shared" ca="1" si="31"/>
        <v>0</v>
      </c>
      <c r="L85">
        <f t="shared" ca="1" si="37"/>
        <v>-20</v>
      </c>
      <c r="N85">
        <v>78</v>
      </c>
      <c r="O85" s="81" t="str">
        <f t="shared" ca="1" si="32"/>
        <v>A</v>
      </c>
      <c r="P85">
        <f t="shared" ca="1" si="38"/>
        <v>-1</v>
      </c>
      <c r="Q85">
        <f t="shared" ca="1" si="33"/>
        <v>2</v>
      </c>
      <c r="R85">
        <f t="shared" ca="1" si="39"/>
        <v>2</v>
      </c>
      <c r="S85">
        <f t="shared" ca="1" si="40"/>
        <v>1</v>
      </c>
      <c r="T85">
        <f t="shared" ca="1" si="34"/>
        <v>0</v>
      </c>
      <c r="U85">
        <f t="shared" ca="1" si="41"/>
        <v>-2</v>
      </c>
    </row>
    <row r="86" spans="1:21" x14ac:dyDescent="0.3">
      <c r="A86">
        <v>79</v>
      </c>
      <c r="B86">
        <f t="shared" ca="1" si="28"/>
        <v>1</v>
      </c>
      <c r="C86">
        <f t="shared" ca="1" si="35"/>
        <v>5</v>
      </c>
      <c r="G86">
        <v>79</v>
      </c>
      <c r="H86">
        <f t="shared" ca="1" si="36"/>
        <v>-20</v>
      </c>
      <c r="I86">
        <f t="shared" ca="1" si="29"/>
        <v>1</v>
      </c>
      <c r="J86">
        <f t="shared" ca="1" si="30"/>
        <v>2</v>
      </c>
      <c r="K86">
        <f t="shared" ca="1" si="31"/>
        <v>1</v>
      </c>
      <c r="L86">
        <f t="shared" ca="1" si="37"/>
        <v>-19</v>
      </c>
      <c r="N86">
        <v>79</v>
      </c>
      <c r="O86" s="81" t="str">
        <f t="shared" ca="1" si="32"/>
        <v>B</v>
      </c>
      <c r="P86">
        <f t="shared" ca="1" si="38"/>
        <v>-2</v>
      </c>
      <c r="Q86">
        <f t="shared" ca="1" si="33"/>
        <v>1</v>
      </c>
      <c r="R86">
        <f t="shared" ca="1" si="39"/>
        <v>2</v>
      </c>
      <c r="S86">
        <f t="shared" ca="1" si="40"/>
        <v>1</v>
      </c>
      <c r="T86">
        <f t="shared" ca="1" si="34"/>
        <v>1</v>
      </c>
      <c r="U86">
        <f t="shared" ca="1" si="41"/>
        <v>-1</v>
      </c>
    </row>
    <row r="87" spans="1:21" x14ac:dyDescent="0.3">
      <c r="A87">
        <v>80</v>
      </c>
      <c r="B87">
        <f t="shared" ca="1" si="28"/>
        <v>1</v>
      </c>
      <c r="C87">
        <f t="shared" ca="1" si="35"/>
        <v>6</v>
      </c>
      <c r="G87">
        <v>80</v>
      </c>
      <c r="H87">
        <f t="shared" ca="1" si="36"/>
        <v>-19</v>
      </c>
      <c r="I87">
        <f t="shared" ca="1" si="29"/>
        <v>2</v>
      </c>
      <c r="J87">
        <f t="shared" ca="1" si="30"/>
        <v>2</v>
      </c>
      <c r="K87">
        <f t="shared" ca="1" si="31"/>
        <v>1</v>
      </c>
      <c r="L87">
        <f t="shared" ca="1" si="37"/>
        <v>-18</v>
      </c>
      <c r="N87">
        <v>80</v>
      </c>
      <c r="O87" s="81" t="str">
        <f t="shared" ca="1" si="32"/>
        <v>A</v>
      </c>
      <c r="P87">
        <f t="shared" ca="1" si="38"/>
        <v>-1</v>
      </c>
      <c r="Q87">
        <f t="shared" ca="1" si="33"/>
        <v>2</v>
      </c>
      <c r="R87">
        <f t="shared" ca="1" si="39"/>
        <v>2</v>
      </c>
      <c r="S87">
        <f t="shared" ca="1" si="40"/>
        <v>1</v>
      </c>
      <c r="T87">
        <f t="shared" ca="1" si="34"/>
        <v>1</v>
      </c>
      <c r="U87">
        <f t="shared" ca="1" si="41"/>
        <v>0</v>
      </c>
    </row>
    <row r="88" spans="1:21" x14ac:dyDescent="0.3">
      <c r="A88">
        <v>81</v>
      </c>
      <c r="B88">
        <f t="shared" ca="1" si="28"/>
        <v>0</v>
      </c>
      <c r="C88">
        <f t="shared" ca="1" si="35"/>
        <v>5</v>
      </c>
      <c r="G88">
        <v>81</v>
      </c>
      <c r="H88">
        <f t="shared" ca="1" si="36"/>
        <v>-18</v>
      </c>
      <c r="I88">
        <f t="shared" ca="1" si="29"/>
        <v>0</v>
      </c>
      <c r="J88">
        <f t="shared" ca="1" si="30"/>
        <v>1</v>
      </c>
      <c r="K88">
        <f t="shared" ca="1" si="31"/>
        <v>0</v>
      </c>
      <c r="L88">
        <f t="shared" ca="1" si="37"/>
        <v>-19</v>
      </c>
      <c r="N88">
        <v>81</v>
      </c>
      <c r="O88" s="81" t="str">
        <f t="shared" ca="1" si="32"/>
        <v>B</v>
      </c>
      <c r="P88">
        <f t="shared" ca="1" si="38"/>
        <v>0</v>
      </c>
      <c r="Q88">
        <f t="shared" ca="1" si="33"/>
        <v>0</v>
      </c>
      <c r="R88">
        <f t="shared" ca="1" si="39"/>
        <v>1</v>
      </c>
      <c r="S88">
        <f t="shared" ca="1" si="40"/>
        <v>0</v>
      </c>
      <c r="T88">
        <f t="shared" ca="1" si="34"/>
        <v>0</v>
      </c>
      <c r="U88">
        <f t="shared" ca="1" si="41"/>
        <v>-1</v>
      </c>
    </row>
    <row r="89" spans="1:21" x14ac:dyDescent="0.3">
      <c r="A89">
        <v>82</v>
      </c>
      <c r="B89">
        <f t="shared" ca="1" si="28"/>
        <v>1</v>
      </c>
      <c r="C89">
        <f t="shared" ca="1" si="35"/>
        <v>6</v>
      </c>
      <c r="G89">
        <v>82</v>
      </c>
      <c r="H89">
        <f t="shared" ca="1" si="36"/>
        <v>-19</v>
      </c>
      <c r="I89">
        <f t="shared" ca="1" si="29"/>
        <v>2</v>
      </c>
      <c r="J89">
        <f t="shared" ca="1" si="30"/>
        <v>2</v>
      </c>
      <c r="K89">
        <f t="shared" ca="1" si="31"/>
        <v>1</v>
      </c>
      <c r="L89">
        <f t="shared" ca="1" si="37"/>
        <v>-18</v>
      </c>
      <c r="N89">
        <v>82</v>
      </c>
      <c r="O89" s="81" t="str">
        <f t="shared" ca="1" si="32"/>
        <v>A</v>
      </c>
      <c r="P89">
        <f t="shared" ca="1" si="38"/>
        <v>-1</v>
      </c>
      <c r="Q89">
        <f t="shared" ca="1" si="33"/>
        <v>2</v>
      </c>
      <c r="R89">
        <f t="shared" ca="1" si="39"/>
        <v>2</v>
      </c>
      <c r="S89">
        <f t="shared" ca="1" si="40"/>
        <v>1</v>
      </c>
      <c r="T89">
        <f t="shared" ca="1" si="34"/>
        <v>1</v>
      </c>
      <c r="U89">
        <f t="shared" ca="1" si="41"/>
        <v>0</v>
      </c>
    </row>
    <row r="90" spans="1:21" x14ac:dyDescent="0.3">
      <c r="A90">
        <v>83</v>
      </c>
      <c r="B90">
        <f t="shared" ca="1" si="28"/>
        <v>1</v>
      </c>
      <c r="C90">
        <f t="shared" ca="1" si="35"/>
        <v>7</v>
      </c>
      <c r="G90">
        <v>83</v>
      </c>
      <c r="H90">
        <f t="shared" ca="1" si="36"/>
        <v>-18</v>
      </c>
      <c r="I90">
        <f t="shared" ca="1" si="29"/>
        <v>0</v>
      </c>
      <c r="J90">
        <f t="shared" ca="1" si="30"/>
        <v>1</v>
      </c>
      <c r="K90">
        <f t="shared" ca="1" si="31"/>
        <v>0</v>
      </c>
      <c r="L90">
        <f t="shared" ca="1" si="37"/>
        <v>-19</v>
      </c>
      <c r="N90">
        <v>83</v>
      </c>
      <c r="O90" s="81" t="str">
        <f t="shared" ca="1" si="32"/>
        <v>B</v>
      </c>
      <c r="P90">
        <f t="shared" ca="1" si="38"/>
        <v>0</v>
      </c>
      <c r="Q90">
        <f t="shared" ca="1" si="33"/>
        <v>0</v>
      </c>
      <c r="R90">
        <f t="shared" ca="1" si="39"/>
        <v>1</v>
      </c>
      <c r="S90">
        <f t="shared" ca="1" si="40"/>
        <v>0</v>
      </c>
      <c r="T90">
        <f t="shared" ca="1" si="34"/>
        <v>0</v>
      </c>
      <c r="U90">
        <f t="shared" ca="1" si="41"/>
        <v>-1</v>
      </c>
    </row>
    <row r="91" spans="1:21" x14ac:dyDescent="0.3">
      <c r="A91">
        <v>84</v>
      </c>
      <c r="B91">
        <f t="shared" ca="1" si="28"/>
        <v>1</v>
      </c>
      <c r="C91">
        <f t="shared" ca="1" si="35"/>
        <v>8</v>
      </c>
      <c r="G91">
        <v>84</v>
      </c>
      <c r="H91">
        <f t="shared" ca="1" si="36"/>
        <v>-19</v>
      </c>
      <c r="I91">
        <f t="shared" ca="1" si="29"/>
        <v>2</v>
      </c>
      <c r="J91">
        <f t="shared" ca="1" si="30"/>
        <v>2</v>
      </c>
      <c r="K91">
        <f t="shared" ca="1" si="31"/>
        <v>1</v>
      </c>
      <c r="L91">
        <f t="shared" ca="1" si="37"/>
        <v>-18</v>
      </c>
      <c r="N91">
        <v>84</v>
      </c>
      <c r="O91" s="81" t="str">
        <f t="shared" ca="1" si="32"/>
        <v>A</v>
      </c>
      <c r="P91">
        <f t="shared" ca="1" si="38"/>
        <v>-1</v>
      </c>
      <c r="Q91">
        <f t="shared" ca="1" si="33"/>
        <v>2</v>
      </c>
      <c r="R91">
        <f t="shared" ca="1" si="39"/>
        <v>2</v>
      </c>
      <c r="S91">
        <f t="shared" ca="1" si="40"/>
        <v>1</v>
      </c>
      <c r="T91">
        <f t="shared" ca="1" si="34"/>
        <v>1</v>
      </c>
      <c r="U91">
        <f t="shared" ca="1" si="41"/>
        <v>0</v>
      </c>
    </row>
    <row r="92" spans="1:21" x14ac:dyDescent="0.3">
      <c r="A92">
        <v>85</v>
      </c>
      <c r="B92">
        <f t="shared" ca="1" si="28"/>
        <v>0</v>
      </c>
      <c r="C92">
        <f t="shared" ca="1" si="35"/>
        <v>7</v>
      </c>
      <c r="G92">
        <v>85</v>
      </c>
      <c r="H92">
        <f t="shared" ca="1" si="36"/>
        <v>-18</v>
      </c>
      <c r="I92">
        <f t="shared" ca="1" si="29"/>
        <v>0</v>
      </c>
      <c r="J92">
        <f t="shared" ca="1" si="30"/>
        <v>1</v>
      </c>
      <c r="K92">
        <f t="shared" ca="1" si="31"/>
        <v>0</v>
      </c>
      <c r="L92">
        <f t="shared" ca="1" si="37"/>
        <v>-19</v>
      </c>
      <c r="N92">
        <v>85</v>
      </c>
      <c r="O92" s="81" t="str">
        <f t="shared" ca="1" si="32"/>
        <v>B</v>
      </c>
      <c r="P92">
        <f t="shared" ca="1" si="38"/>
        <v>0</v>
      </c>
      <c r="Q92">
        <f t="shared" ca="1" si="33"/>
        <v>0</v>
      </c>
      <c r="R92">
        <f t="shared" ca="1" si="39"/>
        <v>1</v>
      </c>
      <c r="S92">
        <f t="shared" ca="1" si="40"/>
        <v>0</v>
      </c>
      <c r="T92">
        <f t="shared" ca="1" si="34"/>
        <v>0</v>
      </c>
      <c r="U92">
        <f t="shared" ca="1" si="41"/>
        <v>-1</v>
      </c>
    </row>
    <row r="93" spans="1:21" x14ac:dyDescent="0.3">
      <c r="A93">
        <v>86</v>
      </c>
      <c r="B93">
        <f t="shared" ca="1" si="28"/>
        <v>1</v>
      </c>
      <c r="C93">
        <f t="shared" ca="1" si="35"/>
        <v>8</v>
      </c>
      <c r="G93">
        <v>86</v>
      </c>
      <c r="H93">
        <f t="shared" ca="1" si="36"/>
        <v>-19</v>
      </c>
      <c r="I93">
        <f t="shared" ca="1" si="29"/>
        <v>2</v>
      </c>
      <c r="J93">
        <f t="shared" ca="1" si="30"/>
        <v>2</v>
      </c>
      <c r="K93">
        <f t="shared" ca="1" si="31"/>
        <v>1</v>
      </c>
      <c r="L93">
        <f t="shared" ca="1" si="37"/>
        <v>-18</v>
      </c>
      <c r="N93">
        <v>86</v>
      </c>
      <c r="O93" s="81" t="str">
        <f t="shared" ca="1" si="32"/>
        <v>B</v>
      </c>
      <c r="P93">
        <f t="shared" ca="1" si="38"/>
        <v>-1</v>
      </c>
      <c r="Q93">
        <f t="shared" ca="1" si="33"/>
        <v>2</v>
      </c>
      <c r="R93">
        <f t="shared" ca="1" si="39"/>
        <v>2</v>
      </c>
      <c r="S93">
        <f t="shared" ca="1" si="40"/>
        <v>0</v>
      </c>
      <c r="T93">
        <f t="shared" ca="1" si="34"/>
        <v>0</v>
      </c>
      <c r="U93">
        <f t="shared" ca="1" si="41"/>
        <v>-2</v>
      </c>
    </row>
    <row r="94" spans="1:21" x14ac:dyDescent="0.3">
      <c r="A94">
        <v>87</v>
      </c>
      <c r="B94">
        <f t="shared" ca="1" si="28"/>
        <v>1</v>
      </c>
      <c r="C94">
        <f t="shared" ca="1" si="35"/>
        <v>9</v>
      </c>
      <c r="G94">
        <v>87</v>
      </c>
      <c r="H94">
        <f t="shared" ca="1" si="36"/>
        <v>-18</v>
      </c>
      <c r="I94">
        <f t="shared" ca="1" si="29"/>
        <v>0</v>
      </c>
      <c r="J94">
        <f t="shared" ca="1" si="30"/>
        <v>1</v>
      </c>
      <c r="K94">
        <f t="shared" ca="1" si="31"/>
        <v>0</v>
      </c>
      <c r="L94">
        <f t="shared" ca="1" si="37"/>
        <v>-19</v>
      </c>
      <c r="N94">
        <v>87</v>
      </c>
      <c r="O94" s="81" t="str">
        <f t="shared" ca="1" si="32"/>
        <v>B</v>
      </c>
      <c r="P94">
        <f t="shared" ca="1" si="38"/>
        <v>-2</v>
      </c>
      <c r="Q94">
        <f t="shared" ca="1" si="33"/>
        <v>1</v>
      </c>
      <c r="R94">
        <f t="shared" ca="1" si="39"/>
        <v>2</v>
      </c>
      <c r="S94">
        <f t="shared" ca="1" si="40"/>
        <v>1</v>
      </c>
      <c r="T94">
        <f t="shared" ca="1" si="34"/>
        <v>1</v>
      </c>
      <c r="U94">
        <f t="shared" ca="1" si="41"/>
        <v>-1</v>
      </c>
    </row>
    <row r="95" spans="1:21" x14ac:dyDescent="0.3">
      <c r="A95">
        <v>88</v>
      </c>
      <c r="B95">
        <f t="shared" ca="1" si="28"/>
        <v>1</v>
      </c>
      <c r="C95">
        <f t="shared" ca="1" si="35"/>
        <v>10</v>
      </c>
      <c r="G95">
        <v>88</v>
      </c>
      <c r="H95">
        <f t="shared" ca="1" si="36"/>
        <v>-19</v>
      </c>
      <c r="I95">
        <f t="shared" ca="1" si="29"/>
        <v>2</v>
      </c>
      <c r="J95">
        <f t="shared" ca="1" si="30"/>
        <v>2</v>
      </c>
      <c r="K95">
        <f t="shared" ca="1" si="31"/>
        <v>1</v>
      </c>
      <c r="L95">
        <f t="shared" ca="1" si="37"/>
        <v>-18</v>
      </c>
      <c r="N95">
        <v>88</v>
      </c>
      <c r="O95" s="81" t="str">
        <f t="shared" ca="1" si="32"/>
        <v>B</v>
      </c>
      <c r="P95">
        <f t="shared" ca="1" si="38"/>
        <v>-1</v>
      </c>
      <c r="Q95">
        <f t="shared" ca="1" si="33"/>
        <v>2</v>
      </c>
      <c r="R95">
        <f t="shared" ca="1" si="39"/>
        <v>2</v>
      </c>
      <c r="S95">
        <f t="shared" ca="1" si="40"/>
        <v>1</v>
      </c>
      <c r="T95">
        <f t="shared" ca="1" si="34"/>
        <v>1</v>
      </c>
      <c r="U95">
        <f t="shared" ca="1" si="41"/>
        <v>0</v>
      </c>
    </row>
    <row r="96" spans="1:21" x14ac:dyDescent="0.3">
      <c r="A96">
        <v>89</v>
      </c>
      <c r="B96">
        <f t="shared" ca="1" si="28"/>
        <v>1</v>
      </c>
      <c r="C96">
        <f t="shared" ca="1" si="35"/>
        <v>11</v>
      </c>
      <c r="G96">
        <v>89</v>
      </c>
      <c r="H96">
        <f t="shared" ca="1" si="36"/>
        <v>-18</v>
      </c>
      <c r="I96">
        <f t="shared" ca="1" si="29"/>
        <v>0</v>
      </c>
      <c r="J96">
        <f t="shared" ca="1" si="30"/>
        <v>1</v>
      </c>
      <c r="K96">
        <f t="shared" ca="1" si="31"/>
        <v>0</v>
      </c>
      <c r="L96">
        <f t="shared" ca="1" si="37"/>
        <v>-19</v>
      </c>
      <c r="N96">
        <v>89</v>
      </c>
      <c r="O96" s="81" t="str">
        <f t="shared" ca="1" si="32"/>
        <v>B</v>
      </c>
      <c r="P96">
        <f t="shared" ca="1" si="38"/>
        <v>0</v>
      </c>
      <c r="Q96">
        <f t="shared" ca="1" si="33"/>
        <v>0</v>
      </c>
      <c r="R96">
        <f t="shared" ca="1" si="39"/>
        <v>1</v>
      </c>
      <c r="S96">
        <f t="shared" ca="1" si="40"/>
        <v>0</v>
      </c>
      <c r="T96">
        <f t="shared" ca="1" si="34"/>
        <v>0</v>
      </c>
      <c r="U96">
        <f t="shared" ca="1" si="41"/>
        <v>-1</v>
      </c>
    </row>
    <row r="97" spans="1:21" x14ac:dyDescent="0.3">
      <c r="A97">
        <v>90</v>
      </c>
      <c r="B97">
        <f t="shared" ca="1" si="28"/>
        <v>1</v>
      </c>
      <c r="C97">
        <f t="shared" ca="1" si="35"/>
        <v>12</v>
      </c>
      <c r="G97">
        <v>90</v>
      </c>
      <c r="H97">
        <f t="shared" ca="1" si="36"/>
        <v>-19</v>
      </c>
      <c r="I97">
        <f t="shared" ca="1" si="29"/>
        <v>2</v>
      </c>
      <c r="J97">
        <f t="shared" ca="1" si="30"/>
        <v>2</v>
      </c>
      <c r="K97">
        <f t="shared" ca="1" si="31"/>
        <v>0</v>
      </c>
      <c r="L97">
        <f t="shared" ca="1" si="37"/>
        <v>-20</v>
      </c>
      <c r="N97">
        <v>90</v>
      </c>
      <c r="O97" s="81" t="str">
        <f t="shared" ca="1" si="32"/>
        <v>B</v>
      </c>
      <c r="P97">
        <f t="shared" ca="1" si="38"/>
        <v>-1</v>
      </c>
      <c r="Q97">
        <f t="shared" ca="1" si="33"/>
        <v>2</v>
      </c>
      <c r="R97">
        <f t="shared" ca="1" si="39"/>
        <v>2</v>
      </c>
      <c r="S97">
        <f t="shared" ca="1" si="40"/>
        <v>1</v>
      </c>
      <c r="T97">
        <f t="shared" ca="1" si="34"/>
        <v>1</v>
      </c>
      <c r="U97">
        <f t="shared" ca="1" si="41"/>
        <v>0</v>
      </c>
    </row>
    <row r="98" spans="1:21" x14ac:dyDescent="0.3">
      <c r="A98">
        <v>91</v>
      </c>
      <c r="B98">
        <f t="shared" ca="1" si="28"/>
        <v>0</v>
      </c>
      <c r="C98">
        <f t="shared" ca="1" si="35"/>
        <v>11</v>
      </c>
      <c r="G98">
        <v>91</v>
      </c>
      <c r="H98">
        <f t="shared" ca="1" si="36"/>
        <v>-20</v>
      </c>
      <c r="I98">
        <f t="shared" ca="1" si="29"/>
        <v>1</v>
      </c>
      <c r="J98">
        <f t="shared" ca="1" si="30"/>
        <v>2</v>
      </c>
      <c r="K98">
        <f t="shared" ca="1" si="31"/>
        <v>1</v>
      </c>
      <c r="L98">
        <f t="shared" ca="1" si="37"/>
        <v>-19</v>
      </c>
      <c r="N98">
        <v>91</v>
      </c>
      <c r="O98" s="81" t="str">
        <f t="shared" ca="1" si="32"/>
        <v>B</v>
      </c>
      <c r="P98">
        <f t="shared" ca="1" si="38"/>
        <v>0</v>
      </c>
      <c r="Q98">
        <f t="shared" ca="1" si="33"/>
        <v>0</v>
      </c>
      <c r="R98">
        <f t="shared" ca="1" si="39"/>
        <v>1</v>
      </c>
      <c r="S98">
        <f t="shared" ca="1" si="40"/>
        <v>0</v>
      </c>
      <c r="T98">
        <f t="shared" ca="1" si="34"/>
        <v>0</v>
      </c>
      <c r="U98">
        <f t="shared" ca="1" si="41"/>
        <v>-1</v>
      </c>
    </row>
    <row r="99" spans="1:21" x14ac:dyDescent="0.3">
      <c r="A99">
        <v>92</v>
      </c>
      <c r="B99">
        <f t="shared" ca="1" si="28"/>
        <v>0</v>
      </c>
      <c r="C99">
        <f t="shared" ca="1" si="35"/>
        <v>10</v>
      </c>
      <c r="G99">
        <v>92</v>
      </c>
      <c r="H99">
        <f t="shared" ca="1" si="36"/>
        <v>-19</v>
      </c>
      <c r="I99">
        <f t="shared" ca="1" si="29"/>
        <v>2</v>
      </c>
      <c r="J99">
        <f t="shared" ca="1" si="30"/>
        <v>2</v>
      </c>
      <c r="K99">
        <f t="shared" ca="1" si="31"/>
        <v>0</v>
      </c>
      <c r="L99">
        <f t="shared" ca="1" si="37"/>
        <v>-20</v>
      </c>
      <c r="N99">
        <v>92</v>
      </c>
      <c r="O99" s="81" t="str">
        <f t="shared" ca="1" si="32"/>
        <v>B</v>
      </c>
      <c r="P99">
        <f t="shared" ca="1" si="38"/>
        <v>-1</v>
      </c>
      <c r="Q99">
        <f t="shared" ca="1" si="33"/>
        <v>2</v>
      </c>
      <c r="R99">
        <f t="shared" ca="1" si="39"/>
        <v>2</v>
      </c>
      <c r="S99">
        <f t="shared" ca="1" si="40"/>
        <v>0</v>
      </c>
      <c r="T99">
        <f t="shared" ca="1" si="34"/>
        <v>0</v>
      </c>
      <c r="U99">
        <f t="shared" ca="1" si="41"/>
        <v>-2</v>
      </c>
    </row>
    <row r="100" spans="1:21" x14ac:dyDescent="0.3">
      <c r="A100">
        <v>93</v>
      </c>
      <c r="B100">
        <f t="shared" ca="1" si="28"/>
        <v>1</v>
      </c>
      <c r="C100">
        <f t="shared" ca="1" si="35"/>
        <v>11</v>
      </c>
      <c r="G100">
        <v>93</v>
      </c>
      <c r="H100">
        <f t="shared" ca="1" si="36"/>
        <v>-20</v>
      </c>
      <c r="I100">
        <f t="shared" ca="1" si="29"/>
        <v>1</v>
      </c>
      <c r="J100">
        <f t="shared" ca="1" si="30"/>
        <v>2</v>
      </c>
      <c r="K100">
        <f t="shared" ca="1" si="31"/>
        <v>1</v>
      </c>
      <c r="L100">
        <f t="shared" ca="1" si="37"/>
        <v>-19</v>
      </c>
      <c r="N100">
        <v>93</v>
      </c>
      <c r="O100" s="81" t="str">
        <f t="shared" ca="1" si="32"/>
        <v>B</v>
      </c>
      <c r="P100">
        <f t="shared" ca="1" si="38"/>
        <v>-2</v>
      </c>
      <c r="Q100">
        <f t="shared" ca="1" si="33"/>
        <v>1</v>
      </c>
      <c r="R100">
        <f t="shared" ca="1" si="39"/>
        <v>2</v>
      </c>
      <c r="S100">
        <f t="shared" ca="1" si="40"/>
        <v>0</v>
      </c>
      <c r="T100">
        <f t="shared" ca="1" si="34"/>
        <v>0</v>
      </c>
      <c r="U100">
        <f t="shared" ca="1" si="41"/>
        <v>-3</v>
      </c>
    </row>
    <row r="101" spans="1:21" x14ac:dyDescent="0.3">
      <c r="A101">
        <v>94</v>
      </c>
      <c r="B101">
        <f t="shared" ca="1" si="28"/>
        <v>0</v>
      </c>
      <c r="C101">
        <f t="shared" ca="1" si="35"/>
        <v>10</v>
      </c>
      <c r="G101">
        <v>94</v>
      </c>
      <c r="H101">
        <f t="shared" ca="1" si="36"/>
        <v>-19</v>
      </c>
      <c r="I101">
        <f t="shared" ca="1" si="29"/>
        <v>2</v>
      </c>
      <c r="J101">
        <f t="shared" ca="1" si="30"/>
        <v>2</v>
      </c>
      <c r="K101">
        <f t="shared" ca="1" si="31"/>
        <v>1</v>
      </c>
      <c r="L101">
        <f t="shared" ca="1" si="37"/>
        <v>-18</v>
      </c>
      <c r="N101">
        <v>94</v>
      </c>
      <c r="O101" s="81" t="str">
        <f t="shared" ca="1" si="32"/>
        <v>A</v>
      </c>
      <c r="P101">
        <f t="shared" ca="1" si="38"/>
        <v>-3</v>
      </c>
      <c r="Q101">
        <f t="shared" ca="1" si="33"/>
        <v>0</v>
      </c>
      <c r="R101">
        <f t="shared" ca="1" si="39"/>
        <v>1</v>
      </c>
      <c r="S101">
        <f t="shared" ca="1" si="40"/>
        <v>1</v>
      </c>
      <c r="T101">
        <f t="shared" ca="1" si="34"/>
        <v>0</v>
      </c>
      <c r="U101">
        <f t="shared" ca="1" si="41"/>
        <v>-4</v>
      </c>
    </row>
    <row r="102" spans="1:21" x14ac:dyDescent="0.3">
      <c r="A102">
        <v>95</v>
      </c>
      <c r="B102">
        <f t="shared" ca="1" si="28"/>
        <v>1</v>
      </c>
      <c r="C102">
        <f t="shared" ca="1" si="35"/>
        <v>11</v>
      </c>
      <c r="G102">
        <v>95</v>
      </c>
      <c r="H102">
        <f t="shared" ca="1" si="36"/>
        <v>-18</v>
      </c>
      <c r="I102">
        <f t="shared" ca="1" si="29"/>
        <v>0</v>
      </c>
      <c r="J102">
        <f t="shared" ca="1" si="30"/>
        <v>1</v>
      </c>
      <c r="K102">
        <f t="shared" ca="1" si="31"/>
        <v>0</v>
      </c>
      <c r="L102">
        <f t="shared" ca="1" si="37"/>
        <v>-19</v>
      </c>
      <c r="N102">
        <v>95</v>
      </c>
      <c r="O102" s="81" t="str">
        <f t="shared" ca="1" si="32"/>
        <v>A</v>
      </c>
      <c r="P102">
        <f t="shared" ca="1" si="38"/>
        <v>-4</v>
      </c>
      <c r="Q102">
        <f t="shared" ca="1" si="33"/>
        <v>2</v>
      </c>
      <c r="R102">
        <f t="shared" ca="1" si="39"/>
        <v>2</v>
      </c>
      <c r="S102">
        <f t="shared" ca="1" si="40"/>
        <v>0</v>
      </c>
      <c r="T102">
        <f t="shared" ca="1" si="34"/>
        <v>1</v>
      </c>
      <c r="U102">
        <f t="shared" ca="1" si="41"/>
        <v>-3</v>
      </c>
    </row>
    <row r="103" spans="1:21" x14ac:dyDescent="0.3">
      <c r="A103">
        <v>96</v>
      </c>
      <c r="B103">
        <f t="shared" ca="1" si="28"/>
        <v>0</v>
      </c>
      <c r="C103">
        <f t="shared" ca="1" si="35"/>
        <v>10</v>
      </c>
      <c r="G103">
        <v>96</v>
      </c>
      <c r="H103">
        <f t="shared" ca="1" si="36"/>
        <v>-19</v>
      </c>
      <c r="I103">
        <f t="shared" ca="1" si="29"/>
        <v>2</v>
      </c>
      <c r="J103">
        <f t="shared" ca="1" si="30"/>
        <v>2</v>
      </c>
      <c r="K103">
        <f t="shared" ca="1" si="31"/>
        <v>0</v>
      </c>
      <c r="L103">
        <f t="shared" ca="1" si="37"/>
        <v>-20</v>
      </c>
      <c r="N103">
        <v>96</v>
      </c>
      <c r="O103" s="81" t="str">
        <f t="shared" ca="1" si="32"/>
        <v>A</v>
      </c>
      <c r="P103">
        <f t="shared" ca="1" si="38"/>
        <v>-3</v>
      </c>
      <c r="Q103">
        <f t="shared" ca="1" si="33"/>
        <v>0</v>
      </c>
      <c r="R103">
        <f t="shared" ca="1" si="39"/>
        <v>1</v>
      </c>
      <c r="S103">
        <f t="shared" ca="1" si="40"/>
        <v>0</v>
      </c>
      <c r="T103">
        <f t="shared" ca="1" si="34"/>
        <v>0</v>
      </c>
      <c r="U103">
        <f t="shared" ca="1" si="41"/>
        <v>-4</v>
      </c>
    </row>
    <row r="104" spans="1:21" x14ac:dyDescent="0.3">
      <c r="A104">
        <v>97</v>
      </c>
      <c r="B104">
        <f t="shared" ca="1" si="28"/>
        <v>1</v>
      </c>
      <c r="C104">
        <f t="shared" ca="1" si="35"/>
        <v>11</v>
      </c>
      <c r="G104">
        <v>97</v>
      </c>
      <c r="H104">
        <f t="shared" ca="1" si="36"/>
        <v>-20</v>
      </c>
      <c r="I104">
        <f ca="1">MOD(H104,3)</f>
        <v>1</v>
      </c>
      <c r="J104">
        <f ca="1">IF(I104=0,1,2)</f>
        <v>2</v>
      </c>
      <c r="K104">
        <f t="shared" ca="1" si="31"/>
        <v>0</v>
      </c>
      <c r="L104">
        <f t="shared" ca="1" si="37"/>
        <v>-21</v>
      </c>
      <c r="N104">
        <v>97</v>
      </c>
      <c r="O104" s="81" t="str">
        <f t="shared" ca="1" si="32"/>
        <v>A</v>
      </c>
      <c r="P104">
        <f t="shared" ca="1" si="38"/>
        <v>-4</v>
      </c>
      <c r="Q104">
        <f ca="1">MOD(P104,3)</f>
        <v>2</v>
      </c>
      <c r="R104">
        <f t="shared" ca="1" si="39"/>
        <v>2</v>
      </c>
      <c r="S104">
        <f t="shared" ca="1" si="40"/>
        <v>1</v>
      </c>
      <c r="T104">
        <f ca="1">IF(O104="A",B104,S104)</f>
        <v>1</v>
      </c>
      <c r="U104">
        <f t="shared" ca="1" si="41"/>
        <v>-3</v>
      </c>
    </row>
    <row r="105" spans="1:21" x14ac:dyDescent="0.3">
      <c r="A105">
        <v>98</v>
      </c>
      <c r="B105">
        <f t="shared" ca="1" si="28"/>
        <v>0</v>
      </c>
      <c r="C105">
        <f ca="1">IF(B105=1,1+C104,-1+C104)</f>
        <v>10</v>
      </c>
      <c r="G105">
        <v>98</v>
      </c>
      <c r="H105">
        <f t="shared" ca="1" si="36"/>
        <v>-21</v>
      </c>
      <c r="I105">
        <f ca="1">MOD(H105,3)</f>
        <v>0</v>
      </c>
      <c r="J105">
        <f ca="1">IF(I105=0,1,2)</f>
        <v>1</v>
      </c>
      <c r="K105">
        <f t="shared" ca="1" si="31"/>
        <v>0</v>
      </c>
      <c r="L105">
        <f ca="1">IF(K105=1,1+L104,-1+L104)</f>
        <v>-22</v>
      </c>
      <c r="N105">
        <v>98</v>
      </c>
      <c r="O105" s="81" t="str">
        <f t="shared" ca="1" si="32"/>
        <v>B</v>
      </c>
      <c r="P105">
        <f t="shared" ca="1" si="38"/>
        <v>-3</v>
      </c>
      <c r="Q105">
        <f ca="1">MOD(P105,3)</f>
        <v>0</v>
      </c>
      <c r="R105">
        <f ca="1">IF(Q105=0,1,2)</f>
        <v>1</v>
      </c>
      <c r="S105">
        <f t="shared" ca="1" si="40"/>
        <v>0</v>
      </c>
      <c r="T105">
        <f ca="1">IF(O105="A",B105,S105)</f>
        <v>0</v>
      </c>
      <c r="U105">
        <f ca="1">IF(T105=1,1+U104,-1+U104)</f>
        <v>-4</v>
      </c>
    </row>
    <row r="106" spans="1:21" x14ac:dyDescent="0.3">
      <c r="A106">
        <v>99</v>
      </c>
      <c r="B106">
        <f t="shared" ca="1" si="28"/>
        <v>0</v>
      </c>
      <c r="C106">
        <f ca="1">IF(B106=1,1+C105,-1+C105)</f>
        <v>9</v>
      </c>
      <c r="G106">
        <v>99</v>
      </c>
      <c r="H106">
        <f t="shared" ca="1" si="36"/>
        <v>-22</v>
      </c>
      <c r="I106">
        <f ca="1">MOD(H106,3)</f>
        <v>2</v>
      </c>
      <c r="J106">
        <f ca="1">IF(I106=0,1,2)</f>
        <v>2</v>
      </c>
      <c r="K106">
        <f t="shared" ca="1" si="31"/>
        <v>1</v>
      </c>
      <c r="L106">
        <f ca="1">IF(K106=1,1+L105,-1+L105)</f>
        <v>-21</v>
      </c>
      <c r="N106">
        <v>99</v>
      </c>
      <c r="O106" s="81" t="str">
        <f t="shared" ca="1" si="32"/>
        <v>A</v>
      </c>
      <c r="P106">
        <f t="shared" ca="1" si="38"/>
        <v>-4</v>
      </c>
      <c r="Q106">
        <f ca="1">MOD(P106,3)</f>
        <v>2</v>
      </c>
      <c r="R106">
        <f ca="1">IF(Q106=0,1,2)</f>
        <v>2</v>
      </c>
      <c r="S106">
        <f t="shared" ca="1" si="40"/>
        <v>1</v>
      </c>
      <c r="T106">
        <f ca="1">IF(O106="A",B106,S106)</f>
        <v>0</v>
      </c>
      <c r="U106">
        <f ca="1">IF(T106=1,1+U105,-1+U105)</f>
        <v>-5</v>
      </c>
    </row>
    <row r="107" spans="1:21" x14ac:dyDescent="0.3">
      <c r="A107">
        <v>100</v>
      </c>
      <c r="B107">
        <f t="shared" ca="1" si="28"/>
        <v>0</v>
      </c>
      <c r="C107">
        <f ca="1">IF(B107=1,1+C106,-1+C106)</f>
        <v>8</v>
      </c>
      <c r="G107">
        <v>100</v>
      </c>
      <c r="H107">
        <f t="shared" ca="1" si="36"/>
        <v>-21</v>
      </c>
      <c r="I107">
        <f ca="1">MOD(H107,3)</f>
        <v>0</v>
      </c>
      <c r="J107">
        <f ca="1">IF(I107=0,1,2)</f>
        <v>1</v>
      </c>
      <c r="K107">
        <f t="shared" ca="1" si="31"/>
        <v>0</v>
      </c>
      <c r="L107">
        <f ca="1">IF(K107=1,1+L106,-1+L106)</f>
        <v>-22</v>
      </c>
      <c r="N107">
        <v>100</v>
      </c>
      <c r="O107" s="81" t="str">
        <f t="shared" ca="1" si="32"/>
        <v>A</v>
      </c>
      <c r="P107">
        <f t="shared" ca="1" si="38"/>
        <v>-5</v>
      </c>
      <c r="Q107">
        <f ca="1">MOD(P107,3)</f>
        <v>1</v>
      </c>
      <c r="R107">
        <f ca="1">IF(Q107=0,1,2)</f>
        <v>2</v>
      </c>
      <c r="S107">
        <f t="shared" ca="1" si="40"/>
        <v>1</v>
      </c>
      <c r="T107">
        <f ca="1">IF(O107="A",B107,S107)</f>
        <v>0</v>
      </c>
      <c r="U107">
        <f ca="1">IF(T107=1,1+U106,-1+U106)</f>
        <v>-6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ShowMCForm">
                <anchor>
                  <from>
                    <xdr:col>4</xdr:col>
                    <xdr:colOff>22860</xdr:colOff>
                    <xdr:row>0</xdr:row>
                    <xdr:rowOff>45720</xdr:rowOff>
                  </from>
                  <to>
                    <xdr:col>4</xdr:col>
                    <xdr:colOff>769620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owHideGameB">
                <anchor>
                  <from>
                    <xdr:col>5</xdr:col>
                    <xdr:colOff>38100</xdr:colOff>
                    <xdr:row>0</xdr:row>
                    <xdr:rowOff>45720</xdr:rowOff>
                  </from>
                  <to>
                    <xdr:col>5</xdr:col>
                    <xdr:colOff>784860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ShowHideParrondo">
                <anchor moveWithCells="1" sizeWithCells="1">
                  <from>
                    <xdr:col>12</xdr:col>
                    <xdr:colOff>60960</xdr:colOff>
                    <xdr:row>2</xdr:row>
                    <xdr:rowOff>76200</xdr:rowOff>
                  </from>
                  <to>
                    <xdr:col>12</xdr:col>
                    <xdr:colOff>807720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howMarkov">
                <anchor moveWithCells="1" sizeWithCells="1">
                  <from>
                    <xdr:col>12</xdr:col>
                    <xdr:colOff>60960</xdr:colOff>
                    <xdr:row>0</xdr:row>
                    <xdr:rowOff>45720</xdr:rowOff>
                  </from>
                  <to>
                    <xdr:col>12</xdr:col>
                    <xdr:colOff>800100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8" name="Button 137">
              <controlPr defaultSize="0" print="0" autoFill="0" autoPict="0" macro="[0]!ShowMarkovParr">
                <anchor moveWithCells="1" sizeWithCells="1">
                  <from>
                    <xdr:col>21</xdr:col>
                    <xdr:colOff>60960</xdr:colOff>
                    <xdr:row>0</xdr:row>
                    <xdr:rowOff>45720</xdr:rowOff>
                  </from>
                  <to>
                    <xdr:col>21</xdr:col>
                    <xdr:colOff>800100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9" name="List Box 165">
              <controlPr defaultSize="0" print="0" autoLine="0" autoPict="0" macro="[0]!ListBoxMixSim">
                <anchor moveWithCells="1">
                  <from>
                    <xdr:col>98</xdr:col>
                    <xdr:colOff>609600</xdr:colOff>
                    <xdr:row>1</xdr:row>
                    <xdr:rowOff>60960</xdr:rowOff>
                  </from>
                  <to>
                    <xdr:col>100</xdr:col>
                    <xdr:colOff>137160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0" name="Button 352">
              <controlPr defaultSize="0" print="0" autoFill="0" autoPict="0" macro="[0]!ShowMarkovParr">
                <anchor moveWithCells="1" sizeWithCells="1">
                  <from>
                    <xdr:col>21</xdr:col>
                    <xdr:colOff>60960</xdr:colOff>
                    <xdr:row>0</xdr:row>
                    <xdr:rowOff>45720</xdr:rowOff>
                  </from>
                  <to>
                    <xdr:col>21</xdr:col>
                    <xdr:colOff>800100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1" name="Button 353">
              <controlPr defaultSize="0" print="0" autoFill="0" autoPict="0" macro="[0]!ShowOptMixing">
                <anchor moveWithCells="1" sizeWithCells="1">
                  <from>
                    <xdr:col>21</xdr:col>
                    <xdr:colOff>60960</xdr:colOff>
                    <xdr:row>3</xdr:row>
                    <xdr:rowOff>45720</xdr:rowOff>
                  </from>
                  <to>
                    <xdr:col>21</xdr:col>
                    <xdr:colOff>800100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2" name="Button 354">
              <controlPr defaultSize="0" print="0" autoFill="0" autoPict="0" macro="ShowMCForm">
                <anchor>
                  <from>
                    <xdr:col>47</xdr:col>
                    <xdr:colOff>259080</xdr:colOff>
                    <xdr:row>1</xdr:row>
                    <xdr:rowOff>68580</xdr:rowOff>
                  </from>
                  <to>
                    <xdr:col>48</xdr:col>
                    <xdr:colOff>403860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N141"/>
  <sheetViews>
    <sheetView workbookViewId="0">
      <pane ySplit="4" topLeftCell="A5" activePane="bottomLeft" state="frozen"/>
      <selection activeCell="A2" sqref="A2"/>
      <selection pane="bottomLeft" activeCell="A2" sqref="A2"/>
    </sheetView>
  </sheetViews>
  <sheetFormatPr defaultRowHeight="14.4" x14ac:dyDescent="0.3"/>
  <cols>
    <col min="5" max="7" width="9.33203125" style="73" customWidth="1"/>
    <col min="8" max="8" width="12.6640625" style="73" bestFit="1" customWidth="1"/>
    <col min="10" max="10" width="11.6640625" customWidth="1"/>
  </cols>
  <sheetData>
    <row r="1" spans="1:10" x14ac:dyDescent="0.3">
      <c r="A1" s="46" t="s">
        <v>32</v>
      </c>
    </row>
    <row r="2" spans="1:10" x14ac:dyDescent="0.3">
      <c r="I2" t="s">
        <v>34</v>
      </c>
      <c r="J2" s="78">
        <v>0</v>
      </c>
    </row>
    <row r="3" spans="1:10" x14ac:dyDescent="0.3">
      <c r="A3" t="s">
        <v>13</v>
      </c>
      <c r="B3" s="78">
        <v>5.0000000000000001E-3</v>
      </c>
      <c r="E3" s="105" t="s">
        <v>33</v>
      </c>
      <c r="F3" s="105"/>
      <c r="G3" s="105"/>
      <c r="J3" s="74"/>
    </row>
    <row r="4" spans="1:10" x14ac:dyDescent="0.3">
      <c r="A4" t="s">
        <v>36</v>
      </c>
      <c r="E4" s="77">
        <v>0</v>
      </c>
      <c r="F4" s="77">
        <v>1</v>
      </c>
      <c r="G4" s="77">
        <v>2</v>
      </c>
      <c r="I4" s="77" t="s">
        <v>5</v>
      </c>
      <c r="J4" s="76" t="s">
        <v>31</v>
      </c>
    </row>
    <row r="5" spans="1:10" x14ac:dyDescent="0.3">
      <c r="A5" s="73">
        <v>0</v>
      </c>
      <c r="B5" s="73">
        <f>0.1-B3</f>
        <v>9.5000000000000001E-2</v>
      </c>
      <c r="C5" s="73">
        <f>0.9+B3</f>
        <v>0.90500000000000003</v>
      </c>
      <c r="E5" s="79">
        <f>IF(MOD($J$2,3)=0,1,0)</f>
        <v>1</v>
      </c>
      <c r="F5" s="79">
        <f>IF(MOD($J$2,3)=1,1,0)</f>
        <v>0</v>
      </c>
      <c r="G5" s="79">
        <f>IF(MOD($J$2,3)=2,1,0)</f>
        <v>0</v>
      </c>
      <c r="I5" s="73">
        <v>1</v>
      </c>
      <c r="J5" s="74">
        <f>E5*($B$5-$C$5)+F5*($C$6-$A$6)+G5*($A$7-$B$7)+J2</f>
        <v>-0.81</v>
      </c>
    </row>
    <row r="6" spans="1:10" x14ac:dyDescent="0.3">
      <c r="A6" s="73">
        <f>0.25+B3</f>
        <v>0.255</v>
      </c>
      <c r="B6" s="73">
        <v>0</v>
      </c>
      <c r="C6" s="73">
        <f>0.75-B3</f>
        <v>0.745</v>
      </c>
      <c r="E6" s="73">
        <f t="array" ref="E6:G6">MMULT(E5:G5,$A$5:$C$7)</f>
        <v>0</v>
      </c>
      <c r="F6" s="73">
        <v>9.5000000000000001E-2</v>
      </c>
      <c r="G6" s="73">
        <v>0.90500000000000003</v>
      </c>
      <c r="I6" s="73">
        <v>2</v>
      </c>
      <c r="J6" s="74">
        <f t="shared" ref="J6:J37" si="0">E6*($B$5-$C$5)+F6*($C$6-$A$6)+G6*($A$7-$B$7)+J5</f>
        <v>-0.32000000000000006</v>
      </c>
    </row>
    <row r="7" spans="1:10" x14ac:dyDescent="0.3">
      <c r="A7" s="73">
        <f>0.75-B3</f>
        <v>0.745</v>
      </c>
      <c r="B7" s="73">
        <f>0.25+B3</f>
        <v>0.255</v>
      </c>
      <c r="C7" s="73">
        <v>0</v>
      </c>
      <c r="E7" s="73">
        <f t="array" ref="E7:G7">MMULT(E6:G6,$A$5:$C$7)</f>
        <v>0.69845000000000002</v>
      </c>
      <c r="F7" s="73">
        <v>0.23077500000000001</v>
      </c>
      <c r="G7" s="73">
        <v>7.0775000000000005E-2</v>
      </c>
      <c r="I7" s="73">
        <v>3</v>
      </c>
      <c r="J7" s="74">
        <f t="shared" si="0"/>
        <v>-0.73798500000000011</v>
      </c>
    </row>
    <row r="8" spans="1:10" x14ac:dyDescent="0.3">
      <c r="E8" s="73">
        <f t="array" ref="E8:G8">MMULT(E7:G7,$A$5:$C$7)</f>
        <v>0.11157500000000001</v>
      </c>
      <c r="F8" s="73">
        <v>8.4400375E-2</v>
      </c>
      <c r="G8" s="73">
        <v>0.80402462500000005</v>
      </c>
      <c r="I8" s="73">
        <v>4</v>
      </c>
      <c r="J8" s="74">
        <f t="shared" si="0"/>
        <v>-0.39303250000000012</v>
      </c>
    </row>
    <row r="9" spans="1:10" x14ac:dyDescent="0.3">
      <c r="E9" s="73">
        <f t="array" ref="E9:G9">MMULT(E8:G8,$A$5:$C$7)</f>
        <v>0.62052044124999994</v>
      </c>
      <c r="F9" s="73">
        <v>0.21562590437500001</v>
      </c>
      <c r="G9" s="73">
        <v>0.16385365437499999</v>
      </c>
      <c r="I9" s="73">
        <v>5</v>
      </c>
      <c r="J9" s="74">
        <f t="shared" si="0"/>
        <v>-0.70970907362500013</v>
      </c>
    </row>
    <row r="10" spans="1:10" x14ac:dyDescent="0.3">
      <c r="E10" s="73">
        <f t="array" ref="E10:G10">MMULT(E9:G9,$A$5:$C$7)</f>
        <v>0.177055578125</v>
      </c>
      <c r="F10" s="73">
        <v>0.10073212378437499</v>
      </c>
      <c r="G10" s="73">
        <v>0.72221229809062493</v>
      </c>
      <c r="I10" s="73">
        <v>6</v>
      </c>
      <c r="J10" s="74">
        <f t="shared" si="0"/>
        <v>-0.44988132518750018</v>
      </c>
    </row>
    <row r="11" spans="1:10" x14ac:dyDescent="0.3">
      <c r="E11" s="73">
        <f t="array" ref="E11:G11">MMULT(E10:G10,$A$5:$C$7)</f>
        <v>0.56373485364253118</v>
      </c>
      <c r="F11" s="73">
        <v>0.20098441593498434</v>
      </c>
      <c r="G11" s="73">
        <v>0.23528073042248437</v>
      </c>
      <c r="I11" s="73">
        <v>7</v>
      </c>
      <c r="J11" s="74">
        <f t="shared" si="0"/>
        <v>-0.69273663492279081</v>
      </c>
    </row>
    <row r="12" spans="1:10" x14ac:dyDescent="0.3">
      <c r="E12" s="73">
        <f t="array" ref="E12:G12">MMULT(E11:G11,$A$5:$C$7)</f>
        <v>0.22653517022817188</v>
      </c>
      <c r="F12" s="73">
        <v>0.11355139735377398</v>
      </c>
      <c r="G12" s="73">
        <v>0.65991343241805411</v>
      </c>
      <c r="I12" s="73">
        <v>8</v>
      </c>
      <c r="J12" s="74">
        <f t="shared" si="0"/>
        <v>-0.49723235621941425</v>
      </c>
    </row>
    <row r="13" spans="1:10" x14ac:dyDescent="0.3">
      <c r="E13" s="73">
        <f t="array" ref="E13:G13">MMULT(E12:G12,$A$5:$C$7)</f>
        <v>0.52059111347666265</v>
      </c>
      <c r="F13" s="73">
        <v>0.18979876643828011</v>
      </c>
      <c r="G13" s="73">
        <v>0.28961012008505715</v>
      </c>
      <c r="I13" s="73">
        <v>9</v>
      </c>
      <c r="J13" s="74">
        <f t="shared" si="0"/>
        <v>-0.68400080373907568</v>
      </c>
    </row>
    <row r="14" spans="1:10" x14ac:dyDescent="0.3">
      <c r="E14" s="73">
        <f t="array" ref="E14:G14">MMULT(E13:G13,$A$5:$C$7)</f>
        <v>0.26415822490512897</v>
      </c>
      <c r="F14" s="73">
        <v>0.12330673640197252</v>
      </c>
      <c r="G14" s="73">
        <v>0.61253503869289838</v>
      </c>
      <c r="I14" s="73">
        <v>10</v>
      </c>
      <c r="J14" s="74">
        <f t="shared" si="0"/>
        <v>-0.53740649611574343</v>
      </c>
    </row>
    <row r="15" spans="1:10" x14ac:dyDescent="0.3">
      <c r="E15" s="73">
        <f t="array" ref="E15:G15">MMULT(E14:G14,$A$5:$C$7)</f>
        <v>0.48778182160871225</v>
      </c>
      <c r="F15" s="73">
        <v>0.18129146623267633</v>
      </c>
      <c r="G15" s="73">
        <v>0.33092671215861125</v>
      </c>
      <c r="I15" s="73">
        <v>11</v>
      </c>
      <c r="J15" s="74">
        <f t="shared" si="0"/>
        <v>-0.68152286420706942</v>
      </c>
    </row>
    <row r="16" spans="1:10" x14ac:dyDescent="0.3">
      <c r="E16" s="73">
        <f t="array" ref="E16:G16">MMULT(E15:G15,$A$5:$C$7)</f>
        <v>0.29276972444749783</v>
      </c>
      <c r="F16" s="73">
        <v>0.13072558465327352</v>
      </c>
      <c r="G16" s="73">
        <v>0.57650469089922851</v>
      </c>
      <c r="I16" s="73">
        <v>12</v>
      </c>
      <c r="J16" s="74">
        <f t="shared" si="0"/>
        <v>-0.57212350598881667</v>
      </c>
    </row>
    <row r="17" spans="5:14" x14ac:dyDescent="0.3">
      <c r="E17" s="73">
        <f t="array" ref="E17:G17">MMULT(E16:G16,$A$5:$C$7)</f>
        <v>0.46283101880650995</v>
      </c>
      <c r="F17" s="73">
        <v>0.17482182000181556</v>
      </c>
      <c r="G17" s="73">
        <v>0.36234716119167432</v>
      </c>
      <c r="I17" s="73">
        <v>13</v>
      </c>
      <c r="J17" s="74">
        <f t="shared" si="0"/>
        <v>-0.68380383043727966</v>
      </c>
    </row>
    <row r="18" spans="5:14" x14ac:dyDescent="0.3">
      <c r="E18" s="73">
        <f t="array" ref="E18:G18">MMULT(E17:G17,$A$5:$C$7)</f>
        <v>0.31452819918826036</v>
      </c>
      <c r="F18" s="73">
        <v>0.13636747289049539</v>
      </c>
      <c r="G18" s="73">
        <v>0.54910432792124408</v>
      </c>
      <c r="I18" s="73">
        <v>14</v>
      </c>
      <c r="J18" s="74">
        <f t="shared" si="0"/>
        <v>-0.60269048938201819</v>
      </c>
    </row>
    <row r="19" spans="5:14" x14ac:dyDescent="0.3">
      <c r="E19" s="73">
        <f t="array" ref="E19:G19">MMULT(E18:G18,$A$5:$C$7)</f>
        <v>0.44385642988840318</v>
      </c>
      <c r="F19" s="73">
        <v>0.16990178254280197</v>
      </c>
      <c r="G19" s="73">
        <v>0.38624178756879468</v>
      </c>
      <c r="I19" s="73">
        <v>15</v>
      </c>
      <c r="J19" s="74">
        <f t="shared" si="0"/>
        <v>-0.68970384823694242</v>
      </c>
    </row>
    <row r="20" spans="5:14" x14ac:dyDescent="0.3">
      <c r="E20" s="73">
        <f t="array" ref="E20:G20">MMULT(E19:G19,$A$5:$C$7)</f>
        <v>0.33107508628716653</v>
      </c>
      <c r="F20" s="73">
        <v>0.14065801666944094</v>
      </c>
      <c r="G20" s="73">
        <v>0.52826689704339236</v>
      </c>
      <c r="I20" s="73">
        <v>16</v>
      </c>
      <c r="J20" s="74">
        <f t="shared" si="0"/>
        <v>-0.63010146041025905</v>
      </c>
      <c r="N20" s="74"/>
    </row>
    <row r="21" spans="5:14" x14ac:dyDescent="0.3">
      <c r="E21" s="73">
        <f t="array" ref="E21:G21">MMULT(E20:G20,$A$5:$C$7)</f>
        <v>0.42942663254803476</v>
      </c>
      <c r="F21" s="73">
        <v>0.16616019194334589</v>
      </c>
      <c r="G21" s="73">
        <v>0.40441317550861922</v>
      </c>
      <c r="I21" s="73">
        <v>17</v>
      </c>
      <c r="J21" s="74">
        <f t="shared" si="0"/>
        <v>-0.69835608272270433</v>
      </c>
    </row>
    <row r="22" spans="5:14" x14ac:dyDescent="0.3">
      <c r="E22" s="73">
        <f t="array" ref="E22:G22">MMULT(E21:G21,$A$5:$C$7)</f>
        <v>0.34365866469947454</v>
      </c>
      <c r="F22" s="73">
        <v>0.14392088984676121</v>
      </c>
      <c r="G22" s="73">
        <v>0.5124204454537642</v>
      </c>
      <c r="I22" s="73">
        <v>18</v>
      </c>
      <c r="J22" s="74">
        <f t="shared" si="0"/>
        <v>-0.65511234683202124</v>
      </c>
    </row>
    <row r="23" spans="5:14" x14ac:dyDescent="0.3">
      <c r="E23" s="73">
        <f t="array" ref="E23:G23">MMULT(E22:G22,$A$5:$C$7)</f>
        <v>0.41845305877397843</v>
      </c>
      <c r="F23" s="73">
        <v>0.16331478673715996</v>
      </c>
      <c r="G23" s="73">
        <v>0.41823215448886158</v>
      </c>
      <c r="I23" s="73">
        <v>19</v>
      </c>
      <c r="J23" s="74">
        <f t="shared" si="0"/>
        <v>-0.70910132323819319</v>
      </c>
    </row>
    <row r="24" spans="5:14" x14ac:dyDescent="0.3">
      <c r="E24" s="73">
        <f t="array" ref="E24:G24">MMULT(E23:G23,$A$5:$C$7)</f>
        <v>0.35322822571217766</v>
      </c>
      <c r="F24" s="73">
        <v>0.14640223997818766</v>
      </c>
      <c r="G24" s="73">
        <v>0.5003695343096346</v>
      </c>
      <c r="I24" s="73">
        <v>20</v>
      </c>
      <c r="J24" s="74">
        <f t="shared" si="0"/>
        <v>-0.67829801666402423</v>
      </c>
    </row>
    <row r="25" spans="5:14" x14ac:dyDescent="0.3">
      <c r="E25" s="73">
        <f t="array" ref="E25:G25">MMULT(E24:G24,$A$5:$C$7)</f>
        <v>0.41010787425511563</v>
      </c>
      <c r="F25" s="73">
        <v>0.16115091269161369</v>
      </c>
      <c r="G25" s="73">
        <v>0.42874121305327056</v>
      </c>
      <c r="I25" s="73">
        <v>21</v>
      </c>
      <c r="J25" s="74">
        <f t="shared" si="0"/>
        <v>-0.72143825319567467</v>
      </c>
    </row>
    <row r="26" spans="5:14" x14ac:dyDescent="0.3">
      <c r="E26" s="73">
        <f t="array" ref="E26:G26">MMULT(E25:G25,$A$5:$C$7)</f>
        <v>0.36050568646104808</v>
      </c>
      <c r="F26" s="73">
        <v>0.14828925738281998</v>
      </c>
      <c r="G26" s="73">
        <v>0.49120505615613186</v>
      </c>
      <c r="I26" s="73">
        <v>22</v>
      </c>
      <c r="J26" s="74">
        <f t="shared" si="0"/>
        <v>-0.70009564559503723</v>
      </c>
    </row>
    <row r="27" spans="5:14" x14ac:dyDescent="0.3">
      <c r="E27" s="73">
        <f t="array" ref="E27:G27">MMULT(E26:G26,$A$5:$C$7)</f>
        <v>0.40376152746893734</v>
      </c>
      <c r="F27" s="73">
        <v>0.15950532953361318</v>
      </c>
      <c r="G27" s="73">
        <v>0.43673314299744936</v>
      </c>
      <c r="I27" s="73">
        <v>23</v>
      </c>
      <c r="J27" s="74">
        <f t="shared" si="0"/>
        <v>-0.73498563130465588</v>
      </c>
    </row>
    <row r="28" spans="5:14" x14ac:dyDescent="0.3">
      <c r="E28" s="73">
        <f t="array" ref="E28:G28">MMULT(E27:G27,$A$5:$C$7)</f>
        <v>0.3660400505641711</v>
      </c>
      <c r="F28" s="73">
        <v>0.14972429657389863</v>
      </c>
      <c r="G28" s="73">
        <v>0.48423565286193015</v>
      </c>
      <c r="I28" s="73">
        <v>24</v>
      </c>
      <c r="J28" s="74">
        <f t="shared" si="0"/>
        <v>-0.72083769703807843</v>
      </c>
    </row>
    <row r="29" spans="5:14" x14ac:dyDescent="0.3">
      <c r="E29" s="73">
        <f t="array" ref="E29:G29">MMULT(E28:G28,$A$5:$C$7)</f>
        <v>0.39893525700848215</v>
      </c>
      <c r="F29" s="73">
        <v>0.15825389628338846</v>
      </c>
      <c r="G29" s="73">
        <v>0.44281084670812931</v>
      </c>
      <c r="I29" s="73">
        <v>25</v>
      </c>
      <c r="J29" s="74">
        <f t="shared" si="0"/>
        <v>-0.74945353114910529</v>
      </c>
    </row>
    <row r="30" spans="5:14" x14ac:dyDescent="0.3">
      <c r="E30" s="73">
        <f t="array" ref="E30:G30">MMULT(E29:G29,$A$5:$C$7)</f>
        <v>0.37024882434982037</v>
      </c>
      <c r="F30" s="73">
        <v>0.15081561532637877</v>
      </c>
      <c r="G30" s="73">
        <v>0.47893556032380075</v>
      </c>
      <c r="I30" s="73">
        <v>26</v>
      </c>
      <c r="J30" s="74">
        <f t="shared" si="0"/>
        <v>-0.74077700280387182</v>
      </c>
    </row>
    <row r="31" spans="5:14" x14ac:dyDescent="0.3">
      <c r="E31" s="73">
        <f t="array" ref="E31:G31">MMULT(E30:G30,$A$5:$C$7)</f>
        <v>0.39526497434945812</v>
      </c>
      <c r="F31" s="73">
        <v>0.15730220619580212</v>
      </c>
      <c r="G31" s="73">
        <v>0.44743281945473962</v>
      </c>
      <c r="I31" s="73">
        <v>27</v>
      </c>
      <c r="J31" s="74">
        <f t="shared" si="0"/>
        <v>-0.76462146945816745</v>
      </c>
    </row>
    <row r="32" spans="5:14" x14ac:dyDescent="0.3">
      <c r="E32" s="73">
        <f t="array" ref="E32:G32">MMULT(E31:G31,$A$5:$C$7)</f>
        <v>0.37344951307371055</v>
      </c>
      <c r="F32" s="73">
        <v>0.15164554152415713</v>
      </c>
      <c r="G32" s="73">
        <v>0.47490494540213218</v>
      </c>
      <c r="I32" s="73">
        <v>28</v>
      </c>
      <c r="J32" s="74">
        <f t="shared" si="0"/>
        <v>-0.76010583645399121</v>
      </c>
    </row>
    <row r="33" spans="5:10" x14ac:dyDescent="0.3">
      <c r="E33" s="73">
        <f t="array" ref="E33:G33">MMULT(E32:G32,$A$5:$C$7)</f>
        <v>0.39247379741324856</v>
      </c>
      <c r="F33" s="73">
        <v>0.15657846481954621</v>
      </c>
      <c r="G33" s="73">
        <v>0.45094773776720509</v>
      </c>
      <c r="I33" s="73">
        <v>29</v>
      </c>
      <c r="J33" s="74">
        <f t="shared" si="0"/>
        <v>-0.78032177309121442</v>
      </c>
    </row>
    <row r="34" spans="5:10" x14ac:dyDescent="0.3">
      <c r="E34" s="73">
        <f t="array" ref="E34:G34">MMULT(E33:G33,$A$5:$C$7)</f>
        <v>0.3758835731655521</v>
      </c>
      <c r="F34" s="73">
        <v>0.1522766838848959</v>
      </c>
      <c r="G34" s="73">
        <v>0.47183974294955189</v>
      </c>
      <c r="I34" s="73">
        <v>30</v>
      </c>
      <c r="J34" s="74">
        <f t="shared" si="0"/>
        <v>-0.7789704182064322</v>
      </c>
    </row>
    <row r="35" spans="5:10" x14ac:dyDescent="0.3">
      <c r="E35" s="73">
        <f t="array" ref="E35:G35">MMULT(E34:G34,$A$5:$C$7)</f>
        <v>0.39035116288806465</v>
      </c>
      <c r="F35" s="73">
        <v>0.15602807390286319</v>
      </c>
      <c r="G35" s="73">
        <v>0.45362076320907208</v>
      </c>
      <c r="I35" s="73">
        <v>31</v>
      </c>
      <c r="J35" s="74">
        <f t="shared" si="0"/>
        <v>-0.79642692996091635</v>
      </c>
    </row>
    <row r="36" spans="5:10" x14ac:dyDescent="0.3">
      <c r="E36" s="73">
        <f t="array" ref="E36:G36">MMULT(E35:G35,$A$5:$C$7)</f>
        <v>0.37773462743598879</v>
      </c>
      <c r="F36" s="73">
        <v>0.15275665509267952</v>
      </c>
      <c r="G36" s="73">
        <v>0.4695087174713316</v>
      </c>
      <c r="I36" s="73">
        <v>32</v>
      </c>
      <c r="J36" s="74">
        <f t="shared" si="0"/>
        <v>-0.7974819456277018</v>
      </c>
    </row>
    <row r="37" spans="5:10" x14ac:dyDescent="0.3">
      <c r="E37" s="73">
        <f t="array" ref="E37:G37">MMULT(E36:G36,$A$5:$C$7)</f>
        <v>0.38873694156477534</v>
      </c>
      <c r="F37" s="73">
        <v>0.15560951256160849</v>
      </c>
      <c r="G37" s="73">
        <v>0.45565354587361606</v>
      </c>
      <c r="I37" s="73">
        <v>33</v>
      </c>
      <c r="J37" s="74">
        <f t="shared" si="0"/>
        <v>-0.81283996966190974</v>
      </c>
    </row>
    <row r="38" spans="5:10" x14ac:dyDescent="0.3">
      <c r="E38" s="73">
        <f t="array" ref="E38:G38">MMULT(E37:G37,$A$5:$C$7)</f>
        <v>0.37914231737905413</v>
      </c>
      <c r="F38" s="73">
        <v>0.15312166364642577</v>
      </c>
      <c r="G38" s="73">
        <v>0.46773601897452</v>
      </c>
      <c r="I38" s="73">
        <v>34</v>
      </c>
      <c r="J38" s="74">
        <f t="shared" ref="J38:J69" si="1">E38*($B$5-$C$5)+F38*($C$6-$A$6)+G38*($A$7-$B$7)+J37</f>
        <v>-0.81572498225468026</v>
      </c>
    </row>
    <row r="39" spans="5:10" x14ac:dyDescent="0.3">
      <c r="E39" s="73">
        <f t="array" ref="E39:G39">MMULT(E38:G38,$A$5:$C$7)</f>
        <v>0.38750935836585593</v>
      </c>
      <c r="F39" s="73">
        <v>0.15529120498951274</v>
      </c>
      <c r="G39" s="73">
        <v>0.45719943664463114</v>
      </c>
      <c r="I39" s="73">
        <v>35</v>
      </c>
      <c r="J39" s="74">
        <f t="shared" si="1"/>
        <v>-0.82948714813029312</v>
      </c>
    </row>
    <row r="40" spans="5:10" x14ac:dyDescent="0.3">
      <c r="E40" s="73">
        <f t="array" ref="E40:G40">MMULT(E39:G39,$A$5:$C$7)</f>
        <v>0.38021283757257596</v>
      </c>
      <c r="F40" s="73">
        <v>0.15339924538913724</v>
      </c>
      <c r="G40" s="73">
        <v>0.46638791703828664</v>
      </c>
      <c r="I40" s="73">
        <v>36</v>
      </c>
      <c r="J40" s="74">
        <f t="shared" si="1"/>
        <v>-0.83376383697464196</v>
      </c>
    </row>
    <row r="41" spans="5:10" x14ac:dyDescent="0.3">
      <c r="E41" s="73">
        <f t="array" ref="E41:G41">MMULT(E40:G40,$A$5:$C$7)</f>
        <v>0.38657580576775352</v>
      </c>
      <c r="F41" s="73">
        <v>0.15504913841415782</v>
      </c>
      <c r="G41" s="73">
        <v>0.45837505581808846</v>
      </c>
      <c r="I41" s="73">
        <v>37</v>
      </c>
      <c r="J41" s="74">
        <f t="shared" si="1"/>
        <v>-0.84631238447272161</v>
      </c>
    </row>
    <row r="42" spans="5:10" x14ac:dyDescent="0.3">
      <c r="E42" s="73">
        <f t="array" ref="E42:G42">MMULT(E41:G41,$A$5:$C$7)</f>
        <v>0.38102694688008615</v>
      </c>
      <c r="F42" s="73">
        <v>0.15361034078154914</v>
      </c>
      <c r="G42" s="73">
        <v>0.46536271233836457</v>
      </c>
      <c r="I42" s="73">
        <v>38</v>
      </c>
      <c r="J42" s="74">
        <f t="shared" si="1"/>
        <v>-0.85164741541683364</v>
      </c>
    </row>
    <row r="43" spans="5:10" x14ac:dyDescent="0.3">
      <c r="E43" s="73">
        <f t="array" ref="E43:G43">MMULT(E42:G42,$A$5:$C$7)</f>
        <v>0.38586585759137659</v>
      </c>
      <c r="F43" s="73">
        <v>0.15486505159989117</v>
      </c>
      <c r="G43" s="73">
        <v>0.45926909080873207</v>
      </c>
      <c r="I43" s="73">
        <v>39</v>
      </c>
      <c r="J43" s="74">
        <f t="shared" si="1"/>
        <v>-0.8632730302856233</v>
      </c>
    </row>
    <row r="44" spans="5:10" x14ac:dyDescent="0.3">
      <c r="E44" s="73">
        <f t="array" ref="E44:G44">MMULT(E43:G43,$A$5:$C$7)</f>
        <v>0.38164606081047764</v>
      </c>
      <c r="F44" s="73">
        <v>0.15377087462740746</v>
      </c>
      <c r="G44" s="73">
        <v>0.46458306456211473</v>
      </c>
      <c r="I44" s="73">
        <v>40</v>
      </c>
      <c r="J44" s="74">
        <f t="shared" si="1"/>
        <v>-0.86941290933924431</v>
      </c>
    </row>
    <row r="45" spans="5:10" x14ac:dyDescent="0.3">
      <c r="E45" s="73">
        <f t="array" ref="E45:G45">MMULT(E44:G44,$A$5:$C$7)</f>
        <v>0.38532595612876436</v>
      </c>
      <c r="F45" s="73">
        <v>0.15472505724033464</v>
      </c>
      <c r="G45" s="73">
        <v>0.45994898663090084</v>
      </c>
      <c r="I45" s="73">
        <v>41</v>
      </c>
      <c r="J45" s="74">
        <f t="shared" si="1"/>
        <v>-0.88033665230663805</v>
      </c>
    </row>
    <row r="46" spans="5:10" x14ac:dyDescent="0.3">
      <c r="E46" s="73">
        <f t="array" ref="E46:G46">MMULT(E45:G45,$A$5:$C$7)</f>
        <v>0.38211688463630644</v>
      </c>
      <c r="F46" s="73">
        <v>0.15389295742311232</v>
      </c>
      <c r="G46" s="73">
        <v>0.46399015794058107</v>
      </c>
      <c r="I46" s="73">
        <v>42</v>
      </c>
      <c r="J46" s="74">
        <f t="shared" si="1"/>
        <v>-0.88708860233383657</v>
      </c>
    </row>
    <row r="47" spans="5:10" x14ac:dyDescent="0.3">
      <c r="E47" s="73">
        <f t="array" ref="E47:G47">MMULT(E46:G46,$A$5:$C$7)</f>
        <v>0.38491537180862656</v>
      </c>
      <c r="F47" s="73">
        <v>0.15461859431529729</v>
      </c>
      <c r="G47" s="73">
        <v>0.46046603387607599</v>
      </c>
      <c r="I47" s="73">
        <v>43</v>
      </c>
      <c r="J47" s="74">
        <f t="shared" si="1"/>
        <v>-0.89747858568505112</v>
      </c>
    </row>
    <row r="48" spans="5:10" x14ac:dyDescent="0.3">
      <c r="E48" s="73">
        <f t="array" ref="E48:G48">MMULT(E47:G47,$A$5:$C$7)</f>
        <v>0.38247493678807742</v>
      </c>
      <c r="F48" s="73">
        <v>0.15398579896021891</v>
      </c>
      <c r="G48" s="73">
        <v>0.46353926425170355</v>
      </c>
      <c r="I48" s="73">
        <v>44</v>
      </c>
      <c r="J48" s="74">
        <f t="shared" si="1"/>
        <v>-0.90469600350955182</v>
      </c>
    </row>
    <row r="49" spans="5:10" x14ac:dyDescent="0.3">
      <c r="E49" s="73">
        <f t="array" ref="E49:G49">MMULT(E48:G48,$A$5:$C$7)</f>
        <v>0.384603130602375</v>
      </c>
      <c r="F49" s="73">
        <v>0.15453763137905174</v>
      </c>
      <c r="G49" s="73">
        <v>0.46085923801857315</v>
      </c>
      <c r="I49" s="73">
        <v>45</v>
      </c>
      <c r="J49" s="74">
        <f t="shared" si="1"/>
        <v>-0.91468007329263945</v>
      </c>
    </row>
    <row r="50" spans="5:10" x14ac:dyDescent="0.3">
      <c r="E50" s="73">
        <f t="array" ref="E50:G50">MMULT(E49:G49,$A$5:$C$7)</f>
        <v>0.38274722832549518</v>
      </c>
      <c r="F50" s="73">
        <v>0.15405640310196178</v>
      </c>
      <c r="G50" s="73">
        <v>0.46319636857254293</v>
      </c>
      <c r="I50" s="73">
        <v>46</v>
      </c>
      <c r="J50" s="74">
        <f t="shared" si="1"/>
        <v>-0.92225147011578334</v>
      </c>
    </row>
    <row r="51" spans="5:10" x14ac:dyDescent="0.3">
      <c r="E51" s="73">
        <f t="array" ref="E51:G51">MMULT(E50:G50,$A$5:$C$7)</f>
        <v>0.38436567737754473</v>
      </c>
      <c r="F51" s="73">
        <v>0.15447606067692049</v>
      </c>
      <c r="G51" s="73">
        <v>0.46115826194553466</v>
      </c>
      <c r="I51" s="73">
        <v>47</v>
      </c>
      <c r="J51" s="74">
        <f t="shared" si="1"/>
        <v>-0.93192685070659154</v>
      </c>
    </row>
    <row r="52" spans="5:10" x14ac:dyDescent="0.3">
      <c r="E52" s="73">
        <f t="array" ref="E52:G52">MMULT(E51:G51,$A$5:$C$7)</f>
        <v>0.38295430062203806</v>
      </c>
      <c r="F52" s="73">
        <v>0.1541100961469781</v>
      </c>
      <c r="G52" s="73">
        <v>0.46293560323098376</v>
      </c>
      <c r="I52" s="73">
        <v>48</v>
      </c>
      <c r="J52" s="74">
        <f t="shared" si="1"/>
        <v>-0.93976744151524105</v>
      </c>
    </row>
    <row r="53" spans="5:10" x14ac:dyDescent="0.3">
      <c r="E53" s="73">
        <f t="array" ref="E53:G53">MMULT(E52:G52,$A$5:$C$7)</f>
        <v>0.38418509892456232</v>
      </c>
      <c r="F53" s="73">
        <v>0.15442923738299447</v>
      </c>
      <c r="G53" s="73">
        <v>0.46138566369244316</v>
      </c>
      <c r="I53" s="73">
        <v>49</v>
      </c>
      <c r="J53" s="74">
        <f t="shared" si="1"/>
        <v>-0.94920807011717212</v>
      </c>
    </row>
    <row r="54" spans="5:10" x14ac:dyDescent="0.3">
      <c r="E54" s="73">
        <f t="array" ref="E54:G54">MMULT(E53:G53,$A$5:$C$7)</f>
        <v>0.38311177498353371</v>
      </c>
      <c r="F54" s="73">
        <v>0.15415092863940644</v>
      </c>
      <c r="G54" s="73">
        <v>0.46273729637705979</v>
      </c>
      <c r="I54" s="73">
        <v>50</v>
      </c>
      <c r="J54" s="74">
        <f t="shared" si="1"/>
        <v>-0.95725337759576601</v>
      </c>
    </row>
    <row r="55" spans="5:10" x14ac:dyDescent="0.3">
      <c r="E55" s="73">
        <f t="array" ref="E55:G55">MMULT(E54:G54,$A$5:$C$7)</f>
        <v>0.38404777260395823</v>
      </c>
      <c r="F55" s="73">
        <v>0.15439362919958596</v>
      </c>
      <c r="G55" s="73">
        <v>0.46155859819645578</v>
      </c>
      <c r="I55" s="73">
        <v>51</v>
      </c>
      <c r="J55" s="74">
        <f t="shared" si="1"/>
        <v>-0.96651548198091175</v>
      </c>
    </row>
    <row r="56" spans="5:10" x14ac:dyDescent="0.3">
      <c r="E56" s="73">
        <f t="array" ref="E56:G56">MMULT(E55:G55,$A$5:$C$7)</f>
        <v>0.383231531102254</v>
      </c>
      <c r="F56" s="73">
        <v>0.15418198093747226</v>
      </c>
      <c r="G56" s="73">
        <v>0.46258648796027374</v>
      </c>
      <c r="I56" s="73">
        <v>52</v>
      </c>
      <c r="J56" s="74">
        <f t="shared" si="1"/>
        <v>-0.97471647241384196</v>
      </c>
    </row>
    <row r="57" spans="5:10" x14ac:dyDescent="0.3">
      <c r="E57" s="73">
        <f t="array" ref="E57:G57">MMULT(E56:G56,$A$5:$C$7)</f>
        <v>0.38394333866945934</v>
      </c>
      <c r="F57" s="73">
        <v>0.15436654988458393</v>
      </c>
      <c r="G57" s="73">
        <v>0.46169011144595673</v>
      </c>
      <c r="I57" s="73">
        <v>53</v>
      </c>
      <c r="J57" s="74">
        <f t="shared" si="1"/>
        <v>-0.9838428126841392</v>
      </c>
    </row>
    <row r="58" spans="5:10" x14ac:dyDescent="0.3">
      <c r="E58" s="73">
        <f t="array" ref="E58:G58">MMULT(E57:G57,$A$5:$C$7)</f>
        <v>0.38332260324780665</v>
      </c>
      <c r="F58" s="73">
        <v>0.15420559559231761</v>
      </c>
      <c r="G58" s="73">
        <v>0.46247180115987574</v>
      </c>
      <c r="I58" s="73">
        <v>54</v>
      </c>
      <c r="J58" s="74">
        <f t="shared" si="1"/>
        <v>-0.99216219690628782</v>
      </c>
    </row>
    <row r="59" spans="5:10" x14ac:dyDescent="0.3">
      <c r="E59" s="73">
        <f t="array" ref="E59:G59">MMULT(E58:G58,$A$5:$C$7)</f>
        <v>0.38386391874014841</v>
      </c>
      <c r="F59" s="73">
        <v>0.15434595660430994</v>
      </c>
      <c r="G59" s="73">
        <v>0.46179012465554165</v>
      </c>
      <c r="I59" s="73">
        <v>55</v>
      </c>
      <c r="J59" s="74">
        <f t="shared" si="1"/>
        <v>-1.0011852912684809</v>
      </c>
    </row>
    <row r="60" spans="5:10" x14ac:dyDescent="0.3">
      <c r="E60" s="73">
        <f t="array" ref="E60:G60">MMULT(E59:G59,$A$5:$C$7)</f>
        <v>0.38339186180247753</v>
      </c>
      <c r="F60" s="73">
        <v>0.15422355406747723</v>
      </c>
      <c r="G60" s="73">
        <v>0.46238458413004524</v>
      </c>
      <c r="I60" s="73">
        <v>56</v>
      </c>
      <c r="J60" s="74">
        <f t="shared" si="1"/>
        <v>-1.0095947116117017</v>
      </c>
    </row>
    <row r="61" spans="5:10" x14ac:dyDescent="0.3">
      <c r="E61" s="73">
        <f t="array" ref="E61:G61">MMULT(E60:G60,$A$5:$C$7)</f>
        <v>0.38380352146409041</v>
      </c>
      <c r="F61" s="73">
        <v>0.15433029582439689</v>
      </c>
      <c r="G61" s="73">
        <v>0.4618661827115127</v>
      </c>
      <c r="I61" s="73">
        <v>57</v>
      </c>
      <c r="J61" s="74">
        <f t="shared" si="1"/>
        <v>-1.0185392895150192</v>
      </c>
    </row>
    <row r="62" spans="5:10" x14ac:dyDescent="0.3">
      <c r="E62" s="73">
        <f t="array" ref="E62:G62">MMULT(E61:G61,$A$5:$C$7)</f>
        <v>0.38344453155529817</v>
      </c>
      <c r="F62" s="73">
        <v>0.15423721113052433</v>
      </c>
      <c r="G62" s="73">
        <v>0.46231825731417753</v>
      </c>
      <c r="I62" s="73">
        <v>58</v>
      </c>
      <c r="J62" s="74">
        <f t="shared" si="1"/>
        <v>-1.0270171805369068</v>
      </c>
    </row>
    <row r="63" spans="5:10" x14ac:dyDescent="0.3">
      <c r="E63" s="73">
        <f t="array" ref="E63:G63">MMULT(E62:G62,$A$5:$C$7)</f>
        <v>0.38375759053734598</v>
      </c>
      <c r="F63" s="73">
        <v>0.15431838611286861</v>
      </c>
      <c r="G63" s="73">
        <v>0.4619240233497855</v>
      </c>
      <c r="I63" s="73">
        <v>59</v>
      </c>
      <c r="J63" s="74">
        <f t="shared" si="1"/>
        <v>-1.0359020482354566</v>
      </c>
    </row>
    <row r="64" spans="5:10" x14ac:dyDescent="0.3">
      <c r="E64" s="73">
        <f t="array" ref="E64:G64">MMULT(E63:G63,$A$5:$C$7)</f>
        <v>0.38348458585437167</v>
      </c>
      <c r="F64" s="73">
        <v>0.15424759705524316</v>
      </c>
      <c r="G64" s="73">
        <v>0.46226781709038522</v>
      </c>
      <c r="I64" s="73">
        <v>60</v>
      </c>
      <c r="J64" s="74">
        <f t="shared" si="1"/>
        <v>-1.0444320098461399</v>
      </c>
    </row>
    <row r="65" spans="5:10" x14ac:dyDescent="0.3">
      <c r="E65" s="73">
        <f t="array" ref="E65:G65">MMULT(E64:G64,$A$5:$C$7)</f>
        <v>0.38372266098142399</v>
      </c>
      <c r="F65" s="73">
        <v>0.15430932901421354</v>
      </c>
      <c r="G65" s="73">
        <v>0.46196801000436255</v>
      </c>
      <c r="I65" s="73">
        <v>61</v>
      </c>
      <c r="J65" s="74">
        <f t="shared" si="1"/>
        <v>-1.0532714691219911</v>
      </c>
    </row>
    <row r="66" spans="5:10" x14ac:dyDescent="0.3">
      <c r="E66" s="73">
        <f t="array" ref="E66:G66">MMULT(E65:G65,$A$5:$C$7)</f>
        <v>0.3835150463518745</v>
      </c>
      <c r="F66" s="73">
        <v>0.15425549534434774</v>
      </c>
      <c r="G66" s="73">
        <v>0.46222945830377782</v>
      </c>
      <c r="I66" s="73">
        <v>62</v>
      </c>
      <c r="J66" s="74">
        <f t="shared" si="1"/>
        <v>-1.061841029379428</v>
      </c>
    </row>
    <row r="67" spans="5:10" x14ac:dyDescent="0.3">
      <c r="E67" s="73">
        <f t="array" ref="E67:G67">MMULT(E66:G66,$A$5:$C$7)</f>
        <v>0.38369609774912317</v>
      </c>
      <c r="F67" s="73">
        <v>0.15430244127089143</v>
      </c>
      <c r="G67" s="73">
        <v>0.46200146097998551</v>
      </c>
      <c r="I67" s="73">
        <v>63</v>
      </c>
      <c r="J67" s="74">
        <f t="shared" si="1"/>
        <v>-1.0706459564532882</v>
      </c>
    </row>
    <row r="68" spans="5:10" x14ac:dyDescent="0.3">
      <c r="E68" s="73">
        <f t="array" ref="E68:G68">MMULT(E67:G67,$A$5:$C$7)</f>
        <v>0.38353821095416651</v>
      </c>
      <c r="F68" s="73">
        <v>0.15426150183606302</v>
      </c>
      <c r="G68" s="73">
        <v>0.46220028720977058</v>
      </c>
      <c r="I68" s="73">
        <v>64</v>
      </c>
      <c r="J68" s="74">
        <f t="shared" si="1"/>
        <v>-1.0792456306937046</v>
      </c>
    </row>
    <row r="69" spans="5:10" x14ac:dyDescent="0.3">
      <c r="E69" s="73">
        <f t="array" ref="E69:G69">MMULT(E68:G68,$A$5:$C$7)</f>
        <v>0.38367589693947518</v>
      </c>
      <c r="F69" s="73">
        <v>0.15429720327913732</v>
      </c>
      <c r="G69" s="73">
        <v>0.46202689978138761</v>
      </c>
      <c r="I69" s="73">
        <v>65</v>
      </c>
      <c r="J69" s="74">
        <f t="shared" si="1"/>
        <v>-1.0880242967150222</v>
      </c>
    </row>
    <row r="70" spans="5:10" x14ac:dyDescent="0.3">
      <c r="E70" s="73">
        <f t="array" ref="E70:G70">MMULT(E69:G69,$A$5:$C$7)</f>
        <v>0.38355582717331377</v>
      </c>
      <c r="F70" s="73">
        <v>0.15426606965350398</v>
      </c>
      <c r="G70" s="73">
        <v>0.46217810317318236</v>
      </c>
      <c r="I70" s="73">
        <v>66</v>
      </c>
      <c r="J70" s="74">
        <f t="shared" ref="J70:J104" si="2">E70*($B$5-$C$5)+F70*($C$6-$A$6)+G70*($A$7-$B$7)+J69</f>
        <v>-1.09664687204033</v>
      </c>
    </row>
    <row r="71" spans="5:10" x14ac:dyDescent="0.3">
      <c r="E71" s="73">
        <f t="array" ref="E71:G71">MMULT(E70:G70,$A$5:$C$7)</f>
        <v>0.38366053462566435</v>
      </c>
      <c r="F71" s="73">
        <v>0.15429321989062633</v>
      </c>
      <c r="G71" s="73">
        <v>0.46204624548370943</v>
      </c>
      <c r="I71" s="73">
        <v>67</v>
      </c>
      <c r="J71" s="74">
        <f t="shared" si="2"/>
        <v>-1.1054055670536935</v>
      </c>
    </row>
    <row r="72" spans="5:10" x14ac:dyDescent="0.3">
      <c r="E72" s="73">
        <f t="array" ref="E72:G72">MMULT(E71:G71,$A$5:$C$7)</f>
        <v>0.38356922395747323</v>
      </c>
      <c r="F72" s="73">
        <v>0.15426954338778404</v>
      </c>
      <c r="G72" s="73">
        <v>0.46216123265474285</v>
      </c>
      <c r="I72" s="73">
        <v>68</v>
      </c>
      <c r="J72" s="74">
        <f t="shared" si="2"/>
        <v>-1.1140455581984088</v>
      </c>
    </row>
    <row r="73" spans="5:10" x14ac:dyDescent="0.3">
      <c r="E73" s="73">
        <f t="array" ref="E73:G73">MMULT(E72:G72,$A$5:$C$7)</f>
        <v>0.38364885189166836</v>
      </c>
      <c r="F73" s="73">
        <v>0.15429019060291937</v>
      </c>
      <c r="G73" s="73">
        <v>0.46206095750541243</v>
      </c>
      <c r="I73" s="73">
        <v>69</v>
      </c>
      <c r="J73" s="74">
        <f t="shared" si="2"/>
        <v>-1.1227890656575776</v>
      </c>
    </row>
    <row r="74" spans="5:10" x14ac:dyDescent="0.3">
      <c r="E74" s="73">
        <f t="array" ref="E74:G74">MMULT(E73:G73,$A$5:$C$7)</f>
        <v>0.38357941194527667</v>
      </c>
      <c r="F74" s="73">
        <v>0.15427218509358867</v>
      </c>
      <c r="G74" s="73">
        <v>0.4621484029611348</v>
      </c>
      <c r="I74" s="73">
        <v>70</v>
      </c>
      <c r="J74" s="74">
        <f t="shared" si="2"/>
        <v>-1.1314423011864372</v>
      </c>
    </row>
    <row r="75" spans="5:10" x14ac:dyDescent="0.3">
      <c r="E75" s="73">
        <f t="array" ref="E75:G75">MMULT(E74:G74,$A$5:$C$7)</f>
        <v>0.38363996740491058</v>
      </c>
      <c r="F75" s="73">
        <v>0.15428788688989065</v>
      </c>
      <c r="G75" s="73">
        <v>0.46207214570519894</v>
      </c>
      <c r="I75" s="73">
        <v>71</v>
      </c>
      <c r="J75" s="74">
        <f t="shared" si="2"/>
        <v>-1.140174258812821</v>
      </c>
    </row>
    <row r="76" spans="5:10" x14ac:dyDescent="0.3">
      <c r="E76" s="73">
        <f t="array" ref="E76:G76">MMULT(E75:G75,$A$5:$C$7)</f>
        <v>0.38358715970729534</v>
      </c>
      <c r="F76" s="73">
        <v>0.15427419405829224</v>
      </c>
      <c r="G76" s="73">
        <v>0.46213864623441259</v>
      </c>
      <c r="I76" s="73">
        <v>72</v>
      </c>
      <c r="J76" s="74">
        <f t="shared" si="2"/>
        <v>-1.1488375664323049</v>
      </c>
    </row>
    <row r="77" spans="5:10" x14ac:dyDescent="0.3">
      <c r="E77" s="73">
        <f t="array" ref="E77:G77">MMULT(E76:G76,$A$5:$C$7)</f>
        <v>0.38363321092950192</v>
      </c>
      <c r="F77" s="73">
        <v>0.15428613496196827</v>
      </c>
      <c r="G77" s="73">
        <v>0.46208065410853</v>
      </c>
      <c r="I77" s="73">
        <v>73</v>
      </c>
      <c r="J77" s="74">
        <f t="shared" si="2"/>
        <v>-1.1575607406406574</v>
      </c>
    </row>
    <row r="78" spans="5:10" x14ac:dyDescent="0.3">
      <c r="E78" s="73">
        <f t="array" ref="E78:G78">MMULT(E77:G77,$A$5:$C$7)</f>
        <v>0.38359305172615676</v>
      </c>
      <c r="F78" s="73">
        <v>0.15427572183597782</v>
      </c>
      <c r="G78" s="73">
        <v>0.46213122643786564</v>
      </c>
      <c r="I78" s="73">
        <v>74</v>
      </c>
      <c r="J78" s="74">
        <f t="shared" si="2"/>
        <v>-1.1662317078846611</v>
      </c>
    </row>
    <row r="79" spans="5:10" x14ac:dyDescent="0.3">
      <c r="E79" s="73">
        <f t="array" ref="E79:G79">MMULT(E78:G78,$A$5:$C$7)</f>
        <v>0.38362807276438426</v>
      </c>
      <c r="F79" s="73">
        <v>0.15428480265564065</v>
      </c>
      <c r="G79" s="73">
        <v>0.46208712457997536</v>
      </c>
      <c r="I79" s="73">
        <v>75</v>
      </c>
      <c r="J79" s="74">
        <f t="shared" si="2"/>
        <v>-1.1749482024783606</v>
      </c>
    </row>
    <row r="80" spans="5:10" x14ac:dyDescent="0.3">
      <c r="E80" s="73">
        <f t="array" ref="E80:G80">MMULT(E79:G79,$A$5:$C$7)</f>
        <v>0.38359753248926998</v>
      </c>
      <c r="F80" s="73">
        <v>0.15427688368051024</v>
      </c>
      <c r="G80" s="73">
        <v>0.46212558383022007</v>
      </c>
      <c r="I80" s="73">
        <v>76</v>
      </c>
      <c r="J80" s="74">
        <f t="shared" si="2"/>
        <v>-1.1836249947144115</v>
      </c>
    </row>
    <row r="81" spans="5:10" x14ac:dyDescent="0.3">
      <c r="E81" s="73">
        <f t="array" ref="E81:G81">MMULT(E80:G80,$A$5:$C$7)</f>
        <v>0.38362416529204407</v>
      </c>
      <c r="F81" s="73">
        <v>0.15428378946318677</v>
      </c>
      <c r="G81" s="73">
        <v>0.46209204524476943</v>
      </c>
      <c r="I81" s="73">
        <v>77</v>
      </c>
      <c r="J81" s="74">
        <f t="shared" si="2"/>
        <v>-1.1923364095940687</v>
      </c>
    </row>
    <row r="82" spans="5:10" x14ac:dyDescent="0.3">
      <c r="E82" s="73">
        <f t="array" ref="E82:G82">MMULT(E81:G81,$A$5:$C$7)</f>
        <v>0.38360094002046585</v>
      </c>
      <c r="F82" s="73">
        <v>0.1542777672401604</v>
      </c>
      <c r="G82" s="73">
        <v>0.46212129273937408</v>
      </c>
      <c r="I82" s="73">
        <v>78</v>
      </c>
      <c r="J82" s="74">
        <f t="shared" si="2"/>
        <v>-1.2010176316206742</v>
      </c>
    </row>
    <row r="83" spans="5:10" x14ac:dyDescent="0.3">
      <c r="E83" s="73">
        <f t="array" ref="E83:G83">MMULT(E82:G82,$A$5:$C$7)</f>
        <v>0.3836211937370746</v>
      </c>
      <c r="F83" s="73">
        <v>0.15428301895048466</v>
      </c>
      <c r="G83" s="73">
        <v>0.46209578731244111</v>
      </c>
      <c r="I83" s="73">
        <v>79</v>
      </c>
      <c r="J83" s="74">
        <f t="shared" si="2"/>
        <v>-1.2097251834788709</v>
      </c>
    </row>
    <row r="84" spans="5:10" x14ac:dyDescent="0.3">
      <c r="E84" s="73">
        <f t="array" ref="E84:G84">MMULT(E83:G83,$A$5:$C$7)</f>
        <v>0.38360353138014219</v>
      </c>
      <c r="F84" s="73">
        <v>0.15427843916969458</v>
      </c>
      <c r="G84" s="73">
        <v>0.46211802945016361</v>
      </c>
      <c r="I84" s="73">
        <v>80</v>
      </c>
      <c r="J84" s="74">
        <f t="shared" si="2"/>
        <v>-1.2184097742730555</v>
      </c>
    </row>
    <row r="85" spans="5:10" x14ac:dyDescent="0.3">
      <c r="E85" s="73">
        <f t="array" ref="E85:G85">MMULT(E84:G84,$A$5:$C$7)</f>
        <v>0.38361893392864399</v>
      </c>
      <c r="F85" s="73">
        <v>0.15428243299090524</v>
      </c>
      <c r="G85" s="73">
        <v>0.46209863308045118</v>
      </c>
      <c r="I85" s="73">
        <v>81</v>
      </c>
      <c r="J85" s="74">
        <f t="shared" si="2"/>
        <v>-1.2271143883802926</v>
      </c>
    </row>
    <row r="86" spans="5:10" x14ac:dyDescent="0.3">
      <c r="E86" s="73">
        <f t="array" ref="E86:G86">MMULT(E85:G85,$A$5:$C$7)</f>
        <v>0.38360550205761701</v>
      </c>
      <c r="F86" s="73">
        <v>0.15427895015873622</v>
      </c>
      <c r="G86" s="73">
        <v>0.46211554778364722</v>
      </c>
      <c r="I86" s="73">
        <v>82</v>
      </c>
      <c r="J86" s="74">
        <f t="shared" si="2"/>
        <v>-1.2358015410551946</v>
      </c>
    </row>
    <row r="87" spans="5:10" x14ac:dyDescent="0.3">
      <c r="E87" s="73">
        <f t="array" ref="E87:G87">MMULT(E86:G86,$A$5:$C$7)</f>
        <v>0.38361721538929494</v>
      </c>
      <c r="F87" s="73">
        <v>0.15428198738030366</v>
      </c>
      <c r="G87" s="73">
        <v>0.46210079723040187</v>
      </c>
      <c r="I87" s="73">
        <v>83</v>
      </c>
      <c r="J87" s="74">
        <f t="shared" si="2"/>
        <v>-1.2445039210612778</v>
      </c>
    </row>
    <row r="88" spans="5:10" x14ac:dyDescent="0.3">
      <c r="E88" s="73">
        <f t="array" ref="E88:G88">MMULT(E87:G87,$A$5:$C$7)</f>
        <v>0.38360700071862686</v>
      </c>
      <c r="F88" s="73">
        <v>0.15427933875573552</v>
      </c>
      <c r="G88" s="73">
        <v>0.46211366052563818</v>
      </c>
      <c r="I88" s="73">
        <v>84</v>
      </c>
      <c r="J88" s="74">
        <f t="shared" si="2"/>
        <v>-1.2531930219954925</v>
      </c>
    </row>
    <row r="89" spans="5:10" x14ac:dyDescent="0.3">
      <c r="E89" s="73">
        <f t="array" ref="E89:G89">MMULT(E88:G88,$A$5:$C$7)</f>
        <v>0.38361590847431298</v>
      </c>
      <c r="F89" s="73">
        <v>0.1542816485023073</v>
      </c>
      <c r="G89" s="73">
        <v>0.46210244302338027</v>
      </c>
      <c r="I89" s="73">
        <v>85</v>
      </c>
      <c r="J89" s="74">
        <f t="shared" si="2"/>
        <v>-1.2618937030120991</v>
      </c>
    </row>
    <row r="90" spans="5:10" x14ac:dyDescent="0.3">
      <c r="E90" s="73">
        <f t="array" ref="E90:G90">MMULT(E89:G89,$A$5:$C$7)</f>
        <v>0.38360814042050667</v>
      </c>
      <c r="F90" s="73">
        <v>0.1542796342760217</v>
      </c>
      <c r="G90" s="73">
        <v>0.46211222530347218</v>
      </c>
      <c r="I90" s="73">
        <v>86</v>
      </c>
      <c r="J90" s="74">
        <f t="shared" si="2"/>
        <v>-1.2705842855587575</v>
      </c>
    </row>
    <row r="91" spans="5:10" x14ac:dyDescent="0.3">
      <c r="E91" s="73">
        <f t="array" ref="E91:G91">MMULT(E90:G90,$A$5:$C$7)</f>
        <v>0.38361491459147234</v>
      </c>
      <c r="F91" s="73">
        <v>0.15428139079233355</v>
      </c>
      <c r="G91" s="73">
        <v>0.46210369461619472</v>
      </c>
      <c r="I91" s="73">
        <v>87</v>
      </c>
      <c r="J91" s="74">
        <f t="shared" si="2"/>
        <v>-1.2792836745276712</v>
      </c>
    </row>
    <row r="92" spans="5:10" x14ac:dyDescent="0.3">
      <c r="E92" s="73">
        <f t="array" ref="E92:G92">MMULT(E91:G91,$A$5:$C$7)</f>
        <v>0.38360900714111007</v>
      </c>
      <c r="F92" s="73">
        <v>0.15427985901331953</v>
      </c>
      <c r="G92" s="73">
        <v>0.46211113384557101</v>
      </c>
      <c r="I92" s="73">
        <v>88</v>
      </c>
      <c r="J92" s="74">
        <f t="shared" si="2"/>
        <v>-1.2879753838111141</v>
      </c>
    </row>
    <row r="93" spans="5:10" x14ac:dyDescent="0.3">
      <c r="E93" s="73">
        <f t="array" ref="E93:G93">MMULT(E92:G92,$A$5:$C$7)</f>
        <v>0.38361415876334692</v>
      </c>
      <c r="F93" s="73">
        <v>0.15428119480902608</v>
      </c>
      <c r="G93" s="73">
        <v>0.46210464642762766</v>
      </c>
      <c r="I93" s="73">
        <v>89</v>
      </c>
      <c r="J93" s="74">
        <f t="shared" si="2"/>
        <v>-1.2966737902034648</v>
      </c>
    </row>
    <row r="94" spans="5:10" x14ac:dyDescent="0.3">
      <c r="E94" s="73">
        <f t="array" ref="E94:G94">MMULT(E93:G93,$A$5:$C$7)</f>
        <v>0.38360966626488424</v>
      </c>
      <c r="F94" s="73">
        <v>0.15428002992156301</v>
      </c>
      <c r="G94" s="73">
        <v>0.46211030381355339</v>
      </c>
      <c r="I94" s="73">
        <v>90</v>
      </c>
      <c r="J94" s="74">
        <f t="shared" si="2"/>
        <v>-1.3053663563478142</v>
      </c>
    </row>
    <row r="95" spans="5:10" x14ac:dyDescent="0.3">
      <c r="E95" s="73">
        <f t="array" ref="E95:G95">MMULT(E94:G94,$A$5:$C$7)</f>
        <v>0.3836135839710958</v>
      </c>
      <c r="F95" s="73">
        <v>0.15428104576762011</v>
      </c>
      <c r="G95" s="73">
        <v>0.46210537026128468</v>
      </c>
      <c r="I95" s="73">
        <v>91</v>
      </c>
      <c r="J95" s="74">
        <f t="shared" si="2"/>
        <v>-1.3140640155102385</v>
      </c>
    </row>
    <row r="96" spans="5:10" x14ac:dyDescent="0.3">
      <c r="E96" s="73">
        <f t="array" ref="E96:G96">MMULT(E95:G95,$A$5:$C$7)</f>
        <v>0.38361016751540022</v>
      </c>
      <c r="F96" s="73">
        <v>0.15428015989388169</v>
      </c>
      <c r="G96" s="73">
        <v>0.46210967259071867</v>
      </c>
      <c r="I96" s="73">
        <v>92</v>
      </c>
      <c r="J96" s="74">
        <f t="shared" si="2"/>
        <v>-1.3227572332802586</v>
      </c>
    </row>
    <row r="97" spans="5:11" x14ac:dyDescent="0.3">
      <c r="E97" s="73">
        <f t="array" ref="E97:G97">MMULT(E96:G96,$A$5:$C$7)</f>
        <v>0.38361314685302522</v>
      </c>
      <c r="F97" s="73">
        <v>0.15428093242459628</v>
      </c>
      <c r="G97" s="73">
        <v>0.4621059207223791</v>
      </c>
      <c r="I97" s="73">
        <v>93</v>
      </c>
      <c r="J97" s="74">
        <f t="shared" si="2"/>
        <v>-1.3314543241891912</v>
      </c>
    </row>
    <row r="98" spans="5:11" x14ac:dyDescent="0.3">
      <c r="E98" s="73">
        <f t="array" ref="E98:G98">MMULT(E97:G97,$A$5:$C$7)</f>
        <v>0.38361054870644445</v>
      </c>
      <c r="F98" s="73">
        <v>0.15428025873524409</v>
      </c>
      <c r="G98" s="73">
        <v>0.46210919255831207</v>
      </c>
      <c r="I98" s="73">
        <v>94</v>
      </c>
      <c r="J98" s="74">
        <f t="shared" si="2"/>
        <v>-1.3401480375075687</v>
      </c>
    </row>
    <row r="99" spans="5:11" x14ac:dyDescent="0.3">
      <c r="E99" s="73">
        <f t="array" ref="E99:G99">MMULT(E98:G98,$A$5:$C$7)</f>
        <v>0.38361281443342971</v>
      </c>
      <c r="F99" s="73">
        <v>0.15428084622948179</v>
      </c>
      <c r="G99" s="73">
        <v>0.46210633933708911</v>
      </c>
      <c r="I99" s="73">
        <v>95</v>
      </c>
      <c r="J99" s="74">
        <f t="shared" si="2"/>
        <v>-1.348844696271027</v>
      </c>
    </row>
    <row r="100" spans="5:11" x14ac:dyDescent="0.3">
      <c r="E100" s="73">
        <f t="array" ref="E100:G100">MMULT(E99:G99,$A$5:$C$7)</f>
        <v>0.38361083859464923</v>
      </c>
      <c r="F100" s="73">
        <v>0.15428033390213355</v>
      </c>
      <c r="G100" s="73">
        <v>0.46210882750321786</v>
      </c>
      <c r="I100" s="73">
        <v>96</v>
      </c>
      <c r="J100" s="74">
        <f t="shared" si="2"/>
        <v>-1.3575387864440707</v>
      </c>
    </row>
    <row r="101" spans="5:11" x14ac:dyDescent="0.3">
      <c r="E101" s="73">
        <f t="array" ref="E101:G101">MMULT(E100:G100,$A$5:$C$7)</f>
        <v>0.38361256163494134</v>
      </c>
      <c r="F101" s="73">
        <v>0.15428078067981224</v>
      </c>
      <c r="G101" s="73">
        <v>0.46210665768524706</v>
      </c>
      <c r="I101" s="73">
        <v>97</v>
      </c>
      <c r="J101" s="74">
        <f t="shared" si="2"/>
        <v>-1.3662351165694941</v>
      </c>
    </row>
    <row r="102" spans="5:11" x14ac:dyDescent="0.3">
      <c r="E102" s="73">
        <f t="array" ref="E102:G102">MMULT(E101:G101,$A$5:$C$7)</f>
        <v>0.38361105904886117</v>
      </c>
      <c r="F102" s="73">
        <v>0.15428039106505742</v>
      </c>
      <c r="G102" s="73">
        <v>0.46210854988608202</v>
      </c>
      <c r="I102" s="73">
        <v>98</v>
      </c>
      <c r="J102" s="74">
        <f t="shared" si="2"/>
        <v>-1.3749294933330134</v>
      </c>
    </row>
    <row r="103" spans="5:11" x14ac:dyDescent="0.3">
      <c r="E103" s="73">
        <f t="array" ref="E103:G103">MMULT(E102:G102,$A$5:$C$7)</f>
        <v>0.38361236938672072</v>
      </c>
      <c r="F103" s="73">
        <v>0.15428073083059274</v>
      </c>
      <c r="G103" s="73">
        <v>0.46210689978268715</v>
      </c>
      <c r="I103" s="73">
        <v>99</v>
      </c>
      <c r="J103" s="74">
        <f t="shared" si="2"/>
        <v>-1.3836255735357501</v>
      </c>
    </row>
    <row r="104" spans="5:11" x14ac:dyDescent="0.3">
      <c r="E104" s="73">
        <f t="array" ref="E104:G104">MMULT(E103:G103,$A$5:$C$7)</f>
        <v>0.38361122669990305</v>
      </c>
      <c r="F104" s="73">
        <v>0.1542804345363237</v>
      </c>
      <c r="G104" s="73">
        <v>0.46210833876377388</v>
      </c>
      <c r="I104" s="73">
        <v>100</v>
      </c>
      <c r="J104" s="74">
        <f t="shared" si="2"/>
        <v>-1.3923201682456239</v>
      </c>
      <c r="K104" t="s">
        <v>40</v>
      </c>
    </row>
    <row r="107" spans="5:11" x14ac:dyDescent="0.3">
      <c r="E107" s="85" t="s">
        <v>55</v>
      </c>
    </row>
    <row r="108" spans="5:11" x14ac:dyDescent="0.3">
      <c r="E108" s="85" t="s">
        <v>53</v>
      </c>
    </row>
    <row r="109" spans="5:11" x14ac:dyDescent="0.3">
      <c r="E109" s="81">
        <f t="array" ref="E109:G111">TRANSPOSE(A5:C7)</f>
        <v>0</v>
      </c>
      <c r="F109" s="73">
        <v>0.255</v>
      </c>
      <c r="G109" s="73">
        <v>0.745</v>
      </c>
    </row>
    <row r="110" spans="5:11" x14ac:dyDescent="0.3">
      <c r="E110" s="81">
        <v>9.5000000000000001E-2</v>
      </c>
      <c r="F110" s="73">
        <v>0</v>
      </c>
      <c r="G110" s="73">
        <v>0.255</v>
      </c>
    </row>
    <row r="111" spans="5:11" x14ac:dyDescent="0.3">
      <c r="E111" s="81">
        <v>0.90500000000000003</v>
      </c>
      <c r="F111" s="73">
        <v>0.745</v>
      </c>
      <c r="G111" s="73">
        <v>0</v>
      </c>
    </row>
    <row r="112" spans="5:11" x14ac:dyDescent="0.3">
      <c r="E112" s="85"/>
    </row>
    <row r="113" spans="5:10" x14ac:dyDescent="0.3">
      <c r="E113" s="85" t="s">
        <v>54</v>
      </c>
    </row>
    <row r="114" spans="5:10" x14ac:dyDescent="0.3">
      <c r="E114" s="81">
        <v>-1</v>
      </c>
      <c r="F114" s="81">
        <f>F109</f>
        <v>0.255</v>
      </c>
      <c r="G114" s="81">
        <f>G109</f>
        <v>0.745</v>
      </c>
    </row>
    <row r="115" spans="5:10" x14ac:dyDescent="0.3">
      <c r="E115" s="81">
        <f>E110</f>
        <v>9.5000000000000001E-2</v>
      </c>
      <c r="F115" s="81">
        <v>-1</v>
      </c>
      <c r="G115" s="81">
        <f>G110</f>
        <v>0.255</v>
      </c>
    </row>
    <row r="116" spans="5:10" x14ac:dyDescent="0.3">
      <c r="E116" s="81">
        <f>E111</f>
        <v>0.90500000000000003</v>
      </c>
      <c r="F116" s="81">
        <f>F111</f>
        <v>0.745</v>
      </c>
      <c r="G116" s="81">
        <v>-1</v>
      </c>
    </row>
    <row r="117" spans="5:10" x14ac:dyDescent="0.3">
      <c r="E117" s="85"/>
    </row>
    <row r="118" spans="5:10" x14ac:dyDescent="0.3">
      <c r="E118" s="85" t="s">
        <v>56</v>
      </c>
    </row>
    <row r="119" spans="5:10" x14ac:dyDescent="0.3">
      <c r="E119" s="85" t="s">
        <v>57</v>
      </c>
    </row>
    <row r="120" spans="5:10" x14ac:dyDescent="0.3">
      <c r="E120" s="81">
        <f t="shared" ref="E120:G121" si="3">E114</f>
        <v>-1</v>
      </c>
      <c r="F120" s="81">
        <f t="shared" si="3"/>
        <v>0.255</v>
      </c>
      <c r="G120" s="81">
        <f t="shared" si="3"/>
        <v>0.745</v>
      </c>
      <c r="H120" s="81" t="s">
        <v>58</v>
      </c>
      <c r="J120" s="81">
        <v>0</v>
      </c>
    </row>
    <row r="121" spans="5:10" ht="18" x14ac:dyDescent="0.35">
      <c r="E121" s="81">
        <f t="shared" si="3"/>
        <v>9.5000000000000001E-2</v>
      </c>
      <c r="F121" s="81">
        <f t="shared" si="3"/>
        <v>-1</v>
      </c>
      <c r="G121" s="81">
        <f t="shared" si="3"/>
        <v>0.255</v>
      </c>
      <c r="H121" s="81" t="s">
        <v>59</v>
      </c>
      <c r="I121" s="86" t="s">
        <v>61</v>
      </c>
      <c r="J121" s="81">
        <v>0</v>
      </c>
    </row>
    <row r="122" spans="5:10" x14ac:dyDescent="0.3">
      <c r="E122" s="81">
        <v>1</v>
      </c>
      <c r="F122" s="73">
        <v>1</v>
      </c>
      <c r="G122" s="73">
        <v>1</v>
      </c>
      <c r="H122" s="81" t="s">
        <v>60</v>
      </c>
      <c r="J122" s="81">
        <v>1</v>
      </c>
    </row>
    <row r="123" spans="5:10" x14ac:dyDescent="0.3">
      <c r="E123" s="85"/>
    </row>
    <row r="124" spans="5:10" x14ac:dyDescent="0.3">
      <c r="E124" s="85" t="s">
        <v>62</v>
      </c>
    </row>
    <row r="125" spans="5:10" x14ac:dyDescent="0.3">
      <c r="E125" s="85">
        <f t="array" ref="E125:G127">MINVERSE(E120:G122)</f>
        <v>-0.59434308513787104</v>
      </c>
      <c r="F125" s="73">
        <v>0.23205427228490577</v>
      </c>
      <c r="G125" s="73">
        <v>0.38361175899506289</v>
      </c>
    </row>
    <row r="126" spans="5:10" x14ac:dyDescent="0.3">
      <c r="E126" s="85">
        <v>7.5772823603234646E-2</v>
      </c>
      <c r="F126" s="73">
        <v>-0.82639735742277687</v>
      </c>
      <c r="G126" s="73">
        <v>0.15428057255839836</v>
      </c>
    </row>
    <row r="127" spans="5:10" x14ac:dyDescent="0.3">
      <c r="E127" s="85">
        <v>0.51857026153463637</v>
      </c>
      <c r="F127" s="73">
        <v>0.59434308513787093</v>
      </c>
      <c r="G127" s="73">
        <v>0.46210766844653867</v>
      </c>
    </row>
    <row r="129" spans="5:9" x14ac:dyDescent="0.3">
      <c r="E129" s="85" t="s">
        <v>66</v>
      </c>
    </row>
    <row r="130" spans="5:9" x14ac:dyDescent="0.3">
      <c r="E130" s="73">
        <f t="array" ref="E130:E132">MMULT(E125:G127,J120:J122)</f>
        <v>0.38361175899506289</v>
      </c>
    </row>
    <row r="131" spans="5:9" x14ac:dyDescent="0.3">
      <c r="E131" s="73">
        <v>0.15428057255839836</v>
      </c>
    </row>
    <row r="132" spans="5:9" x14ac:dyDescent="0.3">
      <c r="E132" s="73">
        <v>0.46210766844653867</v>
      </c>
    </row>
    <row r="134" spans="5:9" ht="16.2" x14ac:dyDescent="0.3">
      <c r="E134" s="85" t="s">
        <v>63</v>
      </c>
    </row>
    <row r="135" spans="5:9" ht="28.8" x14ac:dyDescent="0.3">
      <c r="E135" s="81" t="s">
        <v>68</v>
      </c>
      <c r="F135" s="81" t="s">
        <v>64</v>
      </c>
      <c r="G135" s="87" t="s">
        <v>65</v>
      </c>
      <c r="H135" s="85" t="s">
        <v>67</v>
      </c>
      <c r="I135" t="s">
        <v>70</v>
      </c>
    </row>
    <row r="136" spans="5:9" x14ac:dyDescent="0.3">
      <c r="E136" s="73">
        <v>0</v>
      </c>
      <c r="F136" s="73">
        <f>E104</f>
        <v>0.38361122669990305</v>
      </c>
      <c r="G136" s="73">
        <f>E130</f>
        <v>0.38361175899506289</v>
      </c>
      <c r="H136" s="73">
        <f>F136-G136</f>
        <v>-5.3229515983854725E-7</v>
      </c>
      <c r="I136" s="46" t="s">
        <v>69</v>
      </c>
    </row>
    <row r="137" spans="5:9" x14ac:dyDescent="0.3">
      <c r="E137" s="73">
        <v>1</v>
      </c>
      <c r="F137" s="73">
        <f>F104</f>
        <v>0.1542804345363237</v>
      </c>
      <c r="G137" s="81">
        <f>E131</f>
        <v>0.15428057255839836</v>
      </c>
      <c r="H137" s="81">
        <f>F137-G137</f>
        <v>-1.3802207465829497E-7</v>
      </c>
      <c r="I137" s="46" t="str">
        <f>"are"&amp;IF(AND(H136=0,H137=0,H138=0),""," almost")&amp;" at the steady-state."</f>
        <v>are almost at the steady-state.</v>
      </c>
    </row>
    <row r="138" spans="5:9" x14ac:dyDescent="0.3">
      <c r="E138" s="73">
        <v>2</v>
      </c>
      <c r="F138" s="73">
        <f>G104</f>
        <v>0.46210833876377388</v>
      </c>
      <c r="G138" s="81">
        <f>E132</f>
        <v>0.46210766844653867</v>
      </c>
      <c r="H138" s="81">
        <f>F138-G138</f>
        <v>6.7031723521848718E-7</v>
      </c>
    </row>
    <row r="140" spans="5:9" x14ac:dyDescent="0.3">
      <c r="E140" s="85" t="s">
        <v>71</v>
      </c>
    </row>
    <row r="141" spans="5:9" x14ac:dyDescent="0.3">
      <c r="E141" s="73">
        <f>E130*(B5-C5)+E131*(C6-A6)+E132*(A7-B7)</f>
        <v>-8.6952866935818274E-3</v>
      </c>
    </row>
  </sheetData>
  <mergeCells count="1"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77" r:id="rId3" name="Button 45">
              <controlPr defaultSize="0" print="0" autoFill="0" autoPict="0" macro="[0]!ShowGameAorB">
                <anchor>
                  <from>
                    <xdr:col>10</xdr:col>
                    <xdr:colOff>327660</xdr:colOff>
                    <xdr:row>0</xdr:row>
                    <xdr:rowOff>45720</xdr:rowOff>
                  </from>
                  <to>
                    <xdr:col>11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S141"/>
  <sheetViews>
    <sheetView workbookViewId="0">
      <pane ySplit="4" topLeftCell="A5" activePane="bottomLeft" state="frozen"/>
      <selection activeCell="A2" sqref="A2"/>
      <selection pane="bottomLeft" activeCell="A2" sqref="A2"/>
    </sheetView>
  </sheetViews>
  <sheetFormatPr defaultRowHeight="14.4" x14ac:dyDescent="0.3"/>
  <cols>
    <col min="5" max="8" width="9.33203125" style="73" customWidth="1"/>
    <col min="10" max="10" width="11.6640625" customWidth="1"/>
    <col min="18" max="18" width="11.33203125" bestFit="1" customWidth="1"/>
    <col min="19" max="19" width="11" customWidth="1"/>
  </cols>
  <sheetData>
    <row r="1" spans="1:10" x14ac:dyDescent="0.3">
      <c r="A1" s="46" t="s">
        <v>32</v>
      </c>
    </row>
    <row r="2" spans="1:10" x14ac:dyDescent="0.3">
      <c r="I2" t="s">
        <v>34</v>
      </c>
      <c r="J2" s="78">
        <v>0</v>
      </c>
    </row>
    <row r="3" spans="1:10" x14ac:dyDescent="0.3">
      <c r="A3" t="s">
        <v>13</v>
      </c>
      <c r="B3" s="78">
        <v>5.0000000000000001E-3</v>
      </c>
      <c r="E3" s="105" t="s">
        <v>33</v>
      </c>
      <c r="F3" s="105"/>
      <c r="G3" s="105"/>
      <c r="J3" s="74"/>
    </row>
    <row r="4" spans="1:10" x14ac:dyDescent="0.3">
      <c r="A4" t="s">
        <v>37</v>
      </c>
      <c r="E4" s="77">
        <v>0</v>
      </c>
      <c r="F4" s="77">
        <v>1</v>
      </c>
      <c r="G4" s="77">
        <v>2</v>
      </c>
      <c r="I4" s="77" t="s">
        <v>5</v>
      </c>
      <c r="J4" s="76" t="s">
        <v>31</v>
      </c>
    </row>
    <row r="5" spans="1:10" x14ac:dyDescent="0.3">
      <c r="A5" s="73">
        <v>0</v>
      </c>
      <c r="B5" s="73">
        <f>0.5*(0.5-$B$3)+0.5*(0.1-$B$3)</f>
        <v>0.29499999999999998</v>
      </c>
      <c r="C5" s="73">
        <f>0.5*(0.5+$B$3)+0.5*(0.9+$B$3)</f>
        <v>0.70500000000000007</v>
      </c>
      <c r="E5" s="79">
        <f>IF(MOD($J$2,3)=0,1,0)</f>
        <v>1</v>
      </c>
      <c r="F5" s="79">
        <f>IF(MOD($J$2,3)=1,1,0)</f>
        <v>0</v>
      </c>
      <c r="G5" s="79">
        <f>IF(MOD($J$2,3)=2,1,0)</f>
        <v>0</v>
      </c>
      <c r="I5" s="73">
        <v>1</v>
      </c>
      <c r="J5" s="74">
        <f>E5*($B$5-$C$5)+F5*($C$6-$A$6)+G5*($A$7-$B$7)+J2</f>
        <v>-0.41000000000000009</v>
      </c>
    </row>
    <row r="6" spans="1:10" x14ac:dyDescent="0.3">
      <c r="A6" s="73">
        <f>0.5*(0.5+$B$3)+0.5*(0.25+$B$3)</f>
        <v>0.38</v>
      </c>
      <c r="B6" s="73">
        <v>0</v>
      </c>
      <c r="C6" s="73">
        <f>0.5*(0.5-$B$3)+0.5*(0.75-$B$3)</f>
        <v>0.62</v>
      </c>
      <c r="E6" s="73">
        <f t="array" ref="E6:G6">MMULT(E5:G5,$A$5:$C$7)</f>
        <v>0</v>
      </c>
      <c r="F6" s="73">
        <v>0.29499999999999998</v>
      </c>
      <c r="G6" s="73">
        <v>0.70500000000000007</v>
      </c>
      <c r="I6" s="73">
        <v>2</v>
      </c>
      <c r="J6" s="74">
        <f t="shared" ref="J6:J37" si="0">E6*($B$5-$C$5)+F6*($C$6-$A$6)+G6*($A$7-$B$7)+J5</f>
        <v>-0.1700000000000001</v>
      </c>
    </row>
    <row r="7" spans="1:10" x14ac:dyDescent="0.3">
      <c r="A7" s="73">
        <f>0.5*(0.5-$B$3)+0.5*(0.75-$B$3)</f>
        <v>0.62</v>
      </c>
      <c r="B7" s="73">
        <f>0.5*(0.5+$B$3)+0.5*(0.25+$B$3)</f>
        <v>0.38</v>
      </c>
      <c r="C7" s="73">
        <v>0</v>
      </c>
      <c r="E7" s="73">
        <f t="array" ref="E7:G7">MMULT(E6:G6,$A$5:$C$7)</f>
        <v>0.54920000000000002</v>
      </c>
      <c r="F7" s="73">
        <v>0.26790000000000003</v>
      </c>
      <c r="G7" s="73">
        <v>0.18289999999999998</v>
      </c>
      <c r="I7" s="73">
        <v>3</v>
      </c>
      <c r="J7" s="74">
        <f t="shared" si="0"/>
        <v>-0.28698000000000018</v>
      </c>
    </row>
    <row r="8" spans="1:10" x14ac:dyDescent="0.3">
      <c r="E8" s="73">
        <f t="array" ref="E8:G8">MMULT(E7:G7,$A$5:$C$7)</f>
        <v>0.2152</v>
      </c>
      <c r="F8" s="73">
        <v>0.231516</v>
      </c>
      <c r="G8" s="73">
        <v>0.55328400000000011</v>
      </c>
      <c r="I8" s="73">
        <v>4</v>
      </c>
      <c r="J8" s="74">
        <f t="shared" si="0"/>
        <v>-0.18686000000000019</v>
      </c>
    </row>
    <row r="9" spans="1:10" x14ac:dyDescent="0.3">
      <c r="E9" s="73">
        <f t="array" ref="E9:G9">MMULT(E8:G8,$A$5:$C$7)</f>
        <v>0.43101216000000009</v>
      </c>
      <c r="F9" s="73">
        <v>0.27373192000000002</v>
      </c>
      <c r="G9" s="73">
        <v>0.29525592000000001</v>
      </c>
      <c r="I9" s="73">
        <v>5</v>
      </c>
      <c r="J9" s="74">
        <f t="shared" si="0"/>
        <v>-0.22701790400000027</v>
      </c>
    </row>
    <row r="10" spans="1:10" x14ac:dyDescent="0.3">
      <c r="A10" t="s">
        <v>35</v>
      </c>
      <c r="E10" s="73">
        <f t="array" ref="E10:G10">MMULT(E9:G9,$A$5:$C$7)</f>
        <v>0.28707680000000002</v>
      </c>
      <c r="F10" s="73">
        <v>0.23934583680000004</v>
      </c>
      <c r="G10" s="73">
        <v>0.4735773632000001</v>
      </c>
      <c r="I10" s="73">
        <v>6</v>
      </c>
      <c r="J10" s="74">
        <f t="shared" si="0"/>
        <v>-0.17361782400000028</v>
      </c>
    </row>
    <row r="11" spans="1:10" x14ac:dyDescent="0.3">
      <c r="E11" s="73">
        <f t="array" ref="E11:G11">MMULT(E10:G10,$A$5:$C$7)</f>
        <v>0.3845693831680001</v>
      </c>
      <c r="F11" s="73">
        <v>0.26464705401600003</v>
      </c>
      <c r="G11" s="73">
        <v>0.35078356281600009</v>
      </c>
      <c r="I11" s="73">
        <v>7</v>
      </c>
      <c r="J11" s="74">
        <f t="shared" si="0"/>
        <v>-0.18358792305920033</v>
      </c>
    </row>
    <row r="12" spans="1:10" x14ac:dyDescent="0.3">
      <c r="A12" s="73">
        <v>0</v>
      </c>
      <c r="B12" s="73">
        <f>0.5-$B$3</f>
        <v>0.495</v>
      </c>
      <c r="C12" s="73">
        <f>0.5+$B$3</f>
        <v>0.505</v>
      </c>
      <c r="E12" s="73">
        <f t="array" ref="E12:G12">MMULT(E11:G11,$A$5:$C$7)</f>
        <v>0.31805168947200008</v>
      </c>
      <c r="F12" s="73">
        <v>0.24674572190464006</v>
      </c>
      <c r="G12" s="73">
        <v>0.43520258862336014</v>
      </c>
      <c r="I12" s="73">
        <v>8</v>
      </c>
      <c r="J12" s="74">
        <f t="shared" si="0"/>
        <v>-0.15032152121600034</v>
      </c>
    </row>
    <row r="13" spans="1:10" x14ac:dyDescent="0.3">
      <c r="A13" s="73">
        <f>0.5+$B$3</f>
        <v>0.505</v>
      </c>
      <c r="B13" s="73">
        <v>0</v>
      </c>
      <c r="C13" s="73">
        <f>0.5-$B$3</f>
        <v>0.495</v>
      </c>
      <c r="E13" s="73">
        <f t="array" ref="E13:G13">MMULT(E12:G12,$A$5:$C$7)</f>
        <v>0.36358897927024647</v>
      </c>
      <c r="F13" s="73">
        <v>0.25920223207111687</v>
      </c>
      <c r="G13" s="73">
        <v>0.37720878865863694</v>
      </c>
      <c r="I13" s="73">
        <v>9</v>
      </c>
      <c r="J13" s="74">
        <f t="shared" si="0"/>
        <v>-0.1466543577416605</v>
      </c>
    </row>
    <row r="14" spans="1:10" x14ac:dyDescent="0.3">
      <c r="A14" s="73">
        <f>0.5-$B$3</f>
        <v>0.495</v>
      </c>
      <c r="B14" s="73">
        <f>0.5+$B$3</f>
        <v>0.505</v>
      </c>
      <c r="C14" s="73">
        <v>0</v>
      </c>
      <c r="E14" s="73">
        <f t="array" ref="E14:G14">MMULT(E13:G13,$A$5:$C$7)</f>
        <v>0.3323662971553793</v>
      </c>
      <c r="F14" s="73">
        <v>0.25059808857500476</v>
      </c>
      <c r="G14" s="73">
        <v>0.41703561426961622</v>
      </c>
      <c r="I14" s="73">
        <v>10</v>
      </c>
      <c r="J14" s="74">
        <f t="shared" si="0"/>
        <v>-0.122692450892657</v>
      </c>
    </row>
    <row r="15" spans="1:10" x14ac:dyDescent="0.3">
      <c r="E15" s="73">
        <f t="array" ref="E15:G15">MMULT(E14:G14,$A$5:$C$7)</f>
        <v>0.35378935450566384</v>
      </c>
      <c r="F15" s="73">
        <v>0.25652159108329103</v>
      </c>
      <c r="G15" s="73">
        <v>0.3896890544110454</v>
      </c>
      <c r="I15" s="73">
        <v>11</v>
      </c>
      <c r="J15" s="74">
        <f t="shared" si="0"/>
        <v>-0.11265553132133846</v>
      </c>
    </row>
    <row r="16" spans="1:10" x14ac:dyDescent="0.3">
      <c r="A16" t="s">
        <v>36</v>
      </c>
      <c r="E16" s="73">
        <f t="array" ref="E16:G16">MMULT(E15:G15,$A$5:$C$7)</f>
        <v>0.33908541834649875</v>
      </c>
      <c r="F16" s="73">
        <v>0.25244970025536806</v>
      </c>
      <c r="G16" s="73">
        <v>0.40846488139813347</v>
      </c>
      <c r="I16" s="73">
        <v>12</v>
      </c>
      <c r="J16" s="74">
        <f t="shared" si="0"/>
        <v>-9.3061053246562594E-2</v>
      </c>
    </row>
    <row r="17" spans="1:10" x14ac:dyDescent="0.3">
      <c r="E17" s="73">
        <f t="array" ref="E17:G17">MMULT(E16:G16,$A$5:$C$7)</f>
        <v>0.34917911256388262</v>
      </c>
      <c r="F17" s="73">
        <v>0.25524685334350783</v>
      </c>
      <c r="G17" s="73">
        <v>0.39557403409260983</v>
      </c>
      <c r="I17" s="73">
        <v>13</v>
      </c>
      <c r="J17" s="74">
        <f t="shared" si="0"/>
        <v>-8.002747641308626E-2</v>
      </c>
    </row>
    <row r="18" spans="1:10" x14ac:dyDescent="0.3">
      <c r="A18" s="73">
        <v>0</v>
      </c>
      <c r="B18" s="73">
        <f>0.1-$B$3</f>
        <v>9.5000000000000001E-2</v>
      </c>
      <c r="C18" s="73">
        <f>0.9+$B$3</f>
        <v>0.90500000000000003</v>
      </c>
      <c r="E18" s="73">
        <f t="array" ref="E18:G18">MMULT(E17:G17,$A$5:$C$7)</f>
        <v>0.34224970540795108</v>
      </c>
      <c r="F18" s="73">
        <v>0.2533259711615371</v>
      </c>
      <c r="G18" s="73">
        <v>0.40442432343051216</v>
      </c>
      <c r="I18" s="73">
        <v>14</v>
      </c>
      <c r="J18" s="74">
        <f t="shared" si="0"/>
        <v>-6.2489784928254424E-2</v>
      </c>
    </row>
    <row r="19" spans="1:10" x14ac:dyDescent="0.3">
      <c r="A19" s="73">
        <f>0.25+$B$3</f>
        <v>0.255</v>
      </c>
      <c r="B19" s="73">
        <v>0</v>
      </c>
      <c r="C19" s="73">
        <f>0.75-$B$3</f>
        <v>0.745</v>
      </c>
      <c r="E19" s="73">
        <f t="array" ref="E19:G19">MMULT(E18:G18,$A$5:$C$7)</f>
        <v>0.34700694956830158</v>
      </c>
      <c r="F19" s="73">
        <v>0.25464490599894019</v>
      </c>
      <c r="G19" s="73">
        <v>0.39834814443275857</v>
      </c>
      <c r="I19" s="73">
        <v>15</v>
      </c>
      <c r="J19" s="74">
        <f t="shared" si="0"/>
        <v>-4.8044302147650417E-2</v>
      </c>
    </row>
    <row r="20" spans="1:10" x14ac:dyDescent="0.3">
      <c r="A20" s="73">
        <f>0.75-$B$3</f>
        <v>0.745</v>
      </c>
      <c r="B20" s="73">
        <f>0.25+$B$3</f>
        <v>0.255</v>
      </c>
      <c r="C20" s="73">
        <v>0</v>
      </c>
      <c r="E20" s="73">
        <f t="array" ref="E20:G20">MMULT(E19:G19,$A$5:$C$7)</f>
        <v>0.34374091382790761</v>
      </c>
      <c r="F20" s="73">
        <v>0.25373934500709722</v>
      </c>
      <c r="G20" s="73">
        <v>0.40251974116499556</v>
      </c>
      <c r="I20" s="73">
        <v>16</v>
      </c>
      <c r="J20" s="74">
        <f t="shared" si="0"/>
        <v>-3.1475896135790299E-2</v>
      </c>
    </row>
    <row r="21" spans="1:10" x14ac:dyDescent="0.3">
      <c r="E21" s="73">
        <f t="array" ref="E21:G21">MMULT(E20:G20,$A$5:$C$7)</f>
        <v>0.34598319062499416</v>
      </c>
      <c r="F21" s="73">
        <v>0.25436107122193108</v>
      </c>
      <c r="G21" s="73">
        <v>0.3996557381530752</v>
      </c>
      <c r="I21" s="73">
        <v>17</v>
      </c>
      <c r="J21" s="74">
        <f t="shared" si="0"/>
        <v>-1.6364970042036422E-2</v>
      </c>
    </row>
    <row r="22" spans="1:10" x14ac:dyDescent="0.3">
      <c r="E22" s="73">
        <f t="array" ref="E22:G22">MMULT(E21:G21,$A$5:$C$7)</f>
        <v>0.34444376471924043</v>
      </c>
      <c r="F22" s="73">
        <v>0.25393422173254188</v>
      </c>
      <c r="G22" s="73">
        <v>0.40162201354821814</v>
      </c>
      <c r="I22" s="73">
        <v>18</v>
      </c>
      <c r="J22" s="74">
        <f t="shared" si="0"/>
        <v>-2.5341710954261687E-4</v>
      </c>
    </row>
    <row r="23" spans="1:10" x14ac:dyDescent="0.3">
      <c r="E23" s="73">
        <f t="array" ref="E23:G23">MMULT(E22:G22,$A$5:$C$7)</f>
        <v>0.34550065265826113</v>
      </c>
      <c r="F23" s="73">
        <v>0.2542272757404988</v>
      </c>
      <c r="G23" s="73">
        <v>0.40027207160124051</v>
      </c>
      <c r="I23" s="73">
        <v>19</v>
      </c>
      <c r="J23" s="74">
        <f t="shared" si="0"/>
        <v>1.5171158662587725E-2</v>
      </c>
    </row>
    <row r="24" spans="1:10" x14ac:dyDescent="0.3">
      <c r="E24" s="73">
        <f t="array" ref="E24:G24">MMULT(E23:G23,$A$5:$C$7)</f>
        <v>0.34477504917415869</v>
      </c>
      <c r="F24" s="73">
        <v>0.25402607974265839</v>
      </c>
      <c r="G24" s="73">
        <v>0.40119887108318342</v>
      </c>
      <c r="I24" s="73">
        <v>20</v>
      </c>
      <c r="J24" s="74">
        <f t="shared" si="0"/>
        <v>3.1067376699384655E-2</v>
      </c>
    </row>
    <row r="25" spans="1:10" x14ac:dyDescent="0.3">
      <c r="E25" s="73">
        <f t="array" ref="E25:G25">MMULT(E24:G24,$A$5:$C$7)</f>
        <v>0.34527321037378389</v>
      </c>
      <c r="F25" s="73">
        <v>0.25416421051798649</v>
      </c>
      <c r="G25" s="73">
        <v>0.40056257910823012</v>
      </c>
      <c r="I25" s="73">
        <v>21</v>
      </c>
      <c r="J25" s="74">
        <f t="shared" si="0"/>
        <v>4.6639789956425204E-2</v>
      </c>
    </row>
    <row r="26" spans="1:10" x14ac:dyDescent="0.3">
      <c r="E26" s="73">
        <f t="array" ref="E26:G26">MMULT(E25:G25,$A$5:$C$7)</f>
        <v>0.34493119904393754</v>
      </c>
      <c r="F26" s="73">
        <v>0.25406937712139371</v>
      </c>
      <c r="G26" s="73">
        <v>0.40099942383466924</v>
      </c>
      <c r="I26" s="73">
        <v>22</v>
      </c>
      <c r="J26" s="74">
        <f t="shared" si="0"/>
        <v>6.2434510577865879E-2</v>
      </c>
    </row>
    <row r="27" spans="1:10" x14ac:dyDescent="0.3">
      <c r="E27" s="73">
        <f t="array" ref="E27:G27">MMULT(E26:G26,$A$5:$C$7)</f>
        <v>0.34516600608362458</v>
      </c>
      <c r="F27" s="73">
        <v>0.25413448477513589</v>
      </c>
      <c r="G27" s="73">
        <v>0.40069950914124008</v>
      </c>
      <c r="I27" s="73">
        <v>23</v>
      </c>
      <c r="J27" s="74">
        <f t="shared" si="0"/>
        <v>7.8076606623509986E-2</v>
      </c>
    </row>
    <row r="28" spans="1:10" x14ac:dyDescent="0.3">
      <c r="E28" s="73">
        <f t="array" ref="E28:G28">MMULT(E27:G27,$A$5:$C$7)</f>
        <v>0.34500479988212052</v>
      </c>
      <c r="F28" s="73">
        <v>0.25408978526834047</v>
      </c>
      <c r="G28" s="73">
        <v>0.40090541484953957</v>
      </c>
      <c r="I28" s="73">
        <v>24</v>
      </c>
      <c r="J28" s="74">
        <f t="shared" si="0"/>
        <v>9.3823486700131742E-2</v>
      </c>
    </row>
    <row r="29" spans="1:10" x14ac:dyDescent="0.3">
      <c r="E29" s="73">
        <f t="array" ref="E29:G29">MMULT(E28:G28,$A$5:$C$7)</f>
        <v>0.34511547560868389</v>
      </c>
      <c r="F29" s="73">
        <v>0.25412047360805057</v>
      </c>
      <c r="G29" s="73">
        <v>0.4007640507832661</v>
      </c>
      <c r="I29" s="73">
        <v>25</v>
      </c>
      <c r="J29" s="74">
        <f t="shared" si="0"/>
        <v>0.10949842755448731</v>
      </c>
    </row>
    <row r="30" spans="1:10" x14ac:dyDescent="0.3">
      <c r="E30" s="73">
        <f t="array" ref="E30:G30">MMULT(E29:G29,$A$5:$C$7)</f>
        <v>0.34503949145668422</v>
      </c>
      <c r="F30" s="73">
        <v>0.25409940460220287</v>
      </c>
      <c r="G30" s="73">
        <v>0.40086110394111352</v>
      </c>
      <c r="I30" s="73">
        <v>26</v>
      </c>
      <c r="J30" s="74">
        <f t="shared" si="0"/>
        <v>0.12522275810764266</v>
      </c>
    </row>
    <row r="31" spans="1:10" x14ac:dyDescent="0.3">
      <c r="E31" s="73">
        <f t="array" ref="E31:G31">MMULT(E30:G30,$A$5:$C$7)</f>
        <v>0.34509165819232746</v>
      </c>
      <c r="F31" s="73">
        <v>0.25411386947734499</v>
      </c>
      <c r="G31" s="73">
        <v>0.40079447233032817</v>
      </c>
      <c r="I31" s="73">
        <v>27</v>
      </c>
      <c r="J31" s="74">
        <f t="shared" si="0"/>
        <v>0.14091318028262992</v>
      </c>
    </row>
    <row r="32" spans="1:10" x14ac:dyDescent="0.3">
      <c r="E32" s="73">
        <f t="array" ref="E32:G32">MMULT(E31:G31,$A$5:$C$7)</f>
        <v>0.34505584324619454</v>
      </c>
      <c r="F32" s="73">
        <v>0.25410393865226127</v>
      </c>
      <c r="G32" s="73">
        <v>0.4008402181015448</v>
      </c>
      <c r="I32" s="73">
        <v>28</v>
      </c>
      <c r="J32" s="74">
        <f t="shared" si="0"/>
        <v>0.15662688217260357</v>
      </c>
    </row>
    <row r="33" spans="5:10" x14ac:dyDescent="0.3">
      <c r="E33" s="73">
        <f t="array" ref="E33:G33">MMULT(E32:G32,$A$5:$C$7)</f>
        <v>0.34508043191081705</v>
      </c>
      <c r="F33" s="73">
        <v>0.25411075663621441</v>
      </c>
      <c r="G33" s="73">
        <v>0.40080881145296915</v>
      </c>
      <c r="I33" s="73">
        <v>29</v>
      </c>
      <c r="J33" s="74">
        <f t="shared" si="0"/>
        <v>0.1723246014305726</v>
      </c>
    </row>
    <row r="34" spans="5:10" x14ac:dyDescent="0.3">
      <c r="E34" s="73">
        <f t="array" ref="E34:G34">MMULT(E33:G33,$A$5:$C$7)</f>
        <v>0.34506355062260236</v>
      </c>
      <c r="F34" s="73">
        <v>0.25410607576581934</v>
      </c>
      <c r="G34" s="73">
        <v>0.40083037361157897</v>
      </c>
      <c r="I34" s="73">
        <v>30</v>
      </c>
      <c r="J34" s="74">
        <f t="shared" si="0"/>
        <v>0.18803329352588116</v>
      </c>
    </row>
    <row r="35" spans="5:10" x14ac:dyDescent="0.3">
      <c r="E35" s="73">
        <f t="array" ref="E35:G35">MMULT(E34:G34,$A$5:$C$7)</f>
        <v>0.34507514043019027</v>
      </c>
      <c r="F35" s="73">
        <v>0.2541092894060677</v>
      </c>
      <c r="G35" s="73">
        <v>0.4008155701637427</v>
      </c>
      <c r="I35" s="73">
        <v>31</v>
      </c>
      <c r="J35" s="74">
        <f t="shared" si="0"/>
        <v>0.20373445224625761</v>
      </c>
    </row>
    <row r="36" spans="5:10" x14ac:dyDescent="0.3">
      <c r="E36" s="73">
        <f t="array" ref="E36:G36">MMULT(E35:G35,$A$5:$C$7)</f>
        <v>0.34506718347582621</v>
      </c>
      <c r="F36" s="73">
        <v>0.25410708308912838</v>
      </c>
      <c r="G36" s="73">
        <v>0.40082573343504613</v>
      </c>
      <c r="I36" s="73">
        <v>32</v>
      </c>
      <c r="J36" s="74">
        <f t="shared" si="0"/>
        <v>0.21944078298697073</v>
      </c>
    </row>
    <row r="37" spans="5:10" x14ac:dyDescent="0.3">
      <c r="E37" s="73">
        <f t="array" ref="E37:G37">MMULT(E36:G36,$A$5:$C$7)</f>
        <v>0.34507264630359735</v>
      </c>
      <c r="F37" s="73">
        <v>0.25410859783068629</v>
      </c>
      <c r="G37" s="73">
        <v>0.40081875586571714</v>
      </c>
      <c r="I37" s="73">
        <v>33</v>
      </c>
      <c r="J37" s="74">
        <f t="shared" si="0"/>
        <v>0.23514356288963262</v>
      </c>
    </row>
    <row r="38" spans="5:10" x14ac:dyDescent="0.3">
      <c r="E38" s="73">
        <f t="array" ref="E38:G38">MMULT(E37:G37,$A$5:$C$7)</f>
        <v>0.34506889581240541</v>
      </c>
      <c r="F38" s="73">
        <v>0.25410755788853373</v>
      </c>
      <c r="G38" s="73">
        <v>0.40082354629906164</v>
      </c>
      <c r="I38" s="73">
        <v>34</v>
      </c>
      <c r="J38" s="74">
        <f t="shared" ref="J38:J69" si="1">E38*($B$5-$C$5)+F38*($C$6-$A$6)+G38*($A$7-$B$7)+J37</f>
        <v>0.25084878061156923</v>
      </c>
    </row>
    <row r="39" spans="5:10" x14ac:dyDescent="0.3">
      <c r="E39" s="73">
        <f t="array" ref="E39:G39">MMULT(E38:G38,$A$5:$C$7)</f>
        <v>0.34507147070306105</v>
      </c>
      <c r="F39" s="73">
        <v>0.25410827185830298</v>
      </c>
      <c r="G39" s="73">
        <v>0.40082025743863675</v>
      </c>
      <c r="I39" s="73">
        <v>35</v>
      </c>
      <c r="J39" s="74">
        <f t="shared" si="1"/>
        <v>0.26655232465457968</v>
      </c>
    </row>
    <row r="40" spans="5:10" x14ac:dyDescent="0.3">
      <c r="E40" s="73">
        <f t="array" ref="E40:G40">MMULT(E39:G39,$A$5:$C$7)</f>
        <v>0.3450697029181099</v>
      </c>
      <c r="F40" s="73">
        <v>0.25410778168408499</v>
      </c>
      <c r="G40" s="73">
        <v>0.40082251539780589</v>
      </c>
      <c r="I40" s="73">
        <v>36</v>
      </c>
      <c r="J40" s="74">
        <f t="shared" si="1"/>
        <v>0.28225701775780843</v>
      </c>
    </row>
    <row r="41" spans="5:10" x14ac:dyDescent="0.3">
      <c r="E41" s="73">
        <f t="array" ref="E41:G41">MMULT(E40:G40,$A$5:$C$7)</f>
        <v>0.34507091658659195</v>
      </c>
      <c r="F41" s="73">
        <v>0.25410811821200863</v>
      </c>
      <c r="G41" s="73">
        <v>0.4008209652014002</v>
      </c>
      <c r="I41" s="73">
        <v>37</v>
      </c>
      <c r="J41" s="74">
        <f t="shared" si="1"/>
        <v>0.2979609219765238</v>
      </c>
    </row>
    <row r="42" spans="5:10" x14ac:dyDescent="0.3">
      <c r="E42" s="73">
        <f t="array" ref="E42:G42">MMULT(E41:G41,$A$5:$C$7)</f>
        <v>0.34507008334543143</v>
      </c>
      <c r="F42" s="73">
        <v>0.25410788716957672</v>
      </c>
      <c r="G42" s="73">
        <v>0.40082202948499268</v>
      </c>
      <c r="I42" s="73">
        <v>38</v>
      </c>
      <c r="J42" s="74">
        <f t="shared" si="1"/>
        <v>0.3136653678019935</v>
      </c>
    </row>
    <row r="43" spans="5:10" x14ac:dyDescent="0.3">
      <c r="E43" s="73">
        <f t="array" ref="E43:G43">MMULT(E42:G42,$A$5:$C$7)</f>
        <v>0.3450706554051346</v>
      </c>
      <c r="F43" s="73">
        <v>0.2541080457911995</v>
      </c>
      <c r="G43" s="73">
        <v>0.40082129880366674</v>
      </c>
      <c r="I43" s="73">
        <v>39</v>
      </c>
      <c r="J43" s="74">
        <f t="shared" si="1"/>
        <v>0.32936944178865618</v>
      </c>
    </row>
    <row r="44" spans="5:10" x14ac:dyDescent="0.3">
      <c r="E44" s="73">
        <f t="array" ref="E44:G44">MMULT(E43:G43,$A$5:$C$7)</f>
        <v>0.34507026265892921</v>
      </c>
      <c r="F44" s="73">
        <v>0.25410793688990807</v>
      </c>
      <c r="G44" s="73">
        <v>0.40082180045116356</v>
      </c>
      <c r="I44" s="73">
        <v>40</v>
      </c>
      <c r="J44" s="74">
        <f t="shared" si="1"/>
        <v>0.34507377106035236</v>
      </c>
    </row>
    <row r="45" spans="5:10" x14ac:dyDescent="0.3">
      <c r="E45" s="73">
        <f t="array" ref="E45:G45">MMULT(E44:G44,$A$5:$C$7)</f>
        <v>0.34507053229788648</v>
      </c>
      <c r="F45" s="73">
        <v>0.25410801165582625</v>
      </c>
      <c r="G45" s="73">
        <v>0.4008214560462881</v>
      </c>
      <c r="I45" s="73">
        <v>41</v>
      </c>
      <c r="J45" s="74">
        <f t="shared" si="1"/>
        <v>0.36077792506672635</v>
      </c>
    </row>
    <row r="46" spans="5:10" x14ac:dyDescent="0.3">
      <c r="E46" s="73">
        <f t="array" ref="E46:G46">MMULT(E45:G45,$A$5:$C$7)</f>
        <v>0.34507034717791263</v>
      </c>
      <c r="F46" s="73">
        <v>0.25410796032546601</v>
      </c>
      <c r="G46" s="73">
        <v>0.40082169249662225</v>
      </c>
      <c r="I46" s="73">
        <v>42</v>
      </c>
      <c r="J46" s="74">
        <f t="shared" si="1"/>
        <v>0.3764821994010833</v>
      </c>
    </row>
    <row r="47" spans="5:10" x14ac:dyDescent="0.3">
      <c r="E47" s="73">
        <f t="array" ref="E47:G47">MMULT(E46:G46,$A$5:$C$7)</f>
        <v>0.34507047427158288</v>
      </c>
      <c r="F47" s="73">
        <v>0.25410799556620067</v>
      </c>
      <c r="G47" s="73">
        <v>0.40082153016221733</v>
      </c>
      <c r="I47" s="73">
        <v>43</v>
      </c>
      <c r="J47" s="74">
        <f t="shared" si="1"/>
        <v>0.39218639112455461</v>
      </c>
    </row>
    <row r="48" spans="5:10" x14ac:dyDescent="0.3">
      <c r="E48" s="73">
        <f t="array" ref="E48:G48">MMULT(E47:G47,$A$5:$C$7)</f>
        <v>0.34507038701573101</v>
      </c>
      <c r="F48" s="73">
        <v>0.25410797137175956</v>
      </c>
      <c r="G48" s="73">
        <v>0.40082164161251038</v>
      </c>
      <c r="I48" s="73">
        <v>44</v>
      </c>
      <c r="J48" s="74">
        <f t="shared" si="1"/>
        <v>0.40789063956432964</v>
      </c>
    </row>
    <row r="49" spans="5:10" x14ac:dyDescent="0.3">
      <c r="E49" s="73">
        <f t="array" ref="E49:G49">MMULT(E48:G48,$A$5:$C$7)</f>
        <v>0.34507044692102506</v>
      </c>
      <c r="F49" s="73">
        <v>0.25410798798239459</v>
      </c>
      <c r="G49" s="73">
        <v>0.40082156509658129</v>
      </c>
      <c r="I49" s="73">
        <v>45</v>
      </c>
      <c r="J49" s="74">
        <f t="shared" si="1"/>
        <v>0.42359484906566353</v>
      </c>
    </row>
    <row r="50" spans="5:10" x14ac:dyDescent="0.3">
      <c r="E50" s="73">
        <f t="array" ref="E50:G50">MMULT(E49:G49,$A$5:$C$7)</f>
        <v>0.34507040579319037</v>
      </c>
      <c r="F50" s="73">
        <v>0.25410797657840328</v>
      </c>
      <c r="G50" s="73">
        <v>0.40082161762840735</v>
      </c>
      <c r="I50" s="73">
        <v>46</v>
      </c>
      <c r="J50" s="74">
        <f t="shared" si="1"/>
        <v>0.43929908530008999</v>
      </c>
    </row>
    <row r="51" spans="5:10" x14ac:dyDescent="0.3">
      <c r="E51" s="73">
        <f t="array" ref="E51:G51">MMULT(E50:G50,$A$5:$C$7)</f>
        <v>0.34507043402940579</v>
      </c>
      <c r="F51" s="73">
        <v>0.25410798440778593</v>
      </c>
      <c r="G51" s="73">
        <v>0.40082158156280928</v>
      </c>
      <c r="I51" s="73">
        <v>47</v>
      </c>
      <c r="J51" s="74">
        <f t="shared" si="1"/>
        <v>0.45500330318097643</v>
      </c>
    </row>
    <row r="52" spans="5:10" x14ac:dyDescent="0.3">
      <c r="E52" s="73">
        <f t="array" ref="E52:G52">MMULT(E51:G51,$A$5:$C$7)</f>
        <v>0.34507041464390042</v>
      </c>
      <c r="F52" s="73">
        <v>0.25410797903254223</v>
      </c>
      <c r="G52" s="73">
        <v>0.4008216063235584</v>
      </c>
      <c r="I52" s="73">
        <v>48</v>
      </c>
      <c r="J52" s="74">
        <f t="shared" si="1"/>
        <v>0.47070753366244139</v>
      </c>
    </row>
    <row r="53" spans="5:10" x14ac:dyDescent="0.3">
      <c r="E53" s="73">
        <f t="array" ref="E53:G53">MMULT(E52:G52,$A$5:$C$7)</f>
        <v>0.34507042795297227</v>
      </c>
      <c r="F53" s="73">
        <v>0.2541079827229028</v>
      </c>
      <c r="G53" s="73">
        <v>0.40082158932412604</v>
      </c>
      <c r="I53" s="73">
        <v>49</v>
      </c>
      <c r="J53" s="74">
        <f t="shared" si="1"/>
        <v>0.48641175549300963</v>
      </c>
    </row>
    <row r="54" spans="5:10" x14ac:dyDescent="0.3">
      <c r="E54" s="73">
        <f t="array" ref="E54:G54">MMULT(E53:G53,$A$5:$C$7)</f>
        <v>0.34507041881566125</v>
      </c>
      <c r="F54" s="73">
        <v>0.2541079801892947</v>
      </c>
      <c r="G54" s="73">
        <v>0.40082160099504521</v>
      </c>
      <c r="I54" s="73">
        <v>50</v>
      </c>
      <c r="J54" s="74">
        <f t="shared" si="1"/>
        <v>0.50211598326283013</v>
      </c>
    </row>
    <row r="55" spans="5:10" x14ac:dyDescent="0.3">
      <c r="E55" s="73">
        <f t="array" ref="E55:G55">MMULT(E54:G54,$A$5:$C$7)</f>
        <v>0.34507042508885999</v>
      </c>
      <c r="F55" s="73">
        <v>0.25410798192873724</v>
      </c>
      <c r="G55" s="73">
        <v>0.40082159298240394</v>
      </c>
      <c r="I55" s="73">
        <v>51</v>
      </c>
      <c r="J55" s="74">
        <f t="shared" si="1"/>
        <v>0.51782020695507136</v>
      </c>
    </row>
    <row r="56" spans="5:10" x14ac:dyDescent="0.3">
      <c r="E56" s="73">
        <f t="array" ref="E56:G56">MMULT(E55:G55,$A$5:$C$7)</f>
        <v>0.34507042078201061</v>
      </c>
      <c r="F56" s="73">
        <v>0.25410798073452717</v>
      </c>
      <c r="G56" s="73">
        <v>0.40082159848346344</v>
      </c>
      <c r="I56" s="73">
        <v>52</v>
      </c>
      <c r="J56" s="74">
        <f t="shared" si="1"/>
        <v>0.5335244334467647</v>
      </c>
    </row>
    <row r="57" spans="5:10" x14ac:dyDescent="0.3">
      <c r="E57" s="73">
        <f t="array" ref="E57:G57">MMULT(E56:G56,$A$5:$C$7)</f>
        <v>0.34507042373886765</v>
      </c>
      <c r="F57" s="73">
        <v>0.25410798155440922</v>
      </c>
      <c r="G57" s="73">
        <v>0.40082159470672435</v>
      </c>
      <c r="I57" s="73">
        <v>53</v>
      </c>
      <c r="J57" s="74">
        <f t="shared" si="1"/>
        <v>0.549228658016501</v>
      </c>
    </row>
    <row r="58" spans="5:10" x14ac:dyDescent="0.3">
      <c r="E58" s="73">
        <f t="array" ref="E58:G58">MMULT(E57:G57,$A$5:$C$7)</f>
        <v>0.34507042170884461</v>
      </c>
      <c r="F58" s="73">
        <v>0.25410798099152121</v>
      </c>
      <c r="G58" s="73">
        <v>0.4008215972996354</v>
      </c>
      <c r="I58" s="73">
        <v>54</v>
      </c>
      <c r="J58" s="74">
        <f t="shared" si="1"/>
        <v>0.56493288390575225</v>
      </c>
    </row>
    <row r="59" spans="5:10" x14ac:dyDescent="0.3">
      <c r="E59" s="73">
        <f t="array" ref="E59:G59">MMULT(E58:G58,$A$5:$C$7)</f>
        <v>0.34507042310255204</v>
      </c>
      <c r="F59" s="73">
        <v>0.25410798137797058</v>
      </c>
      <c r="G59" s="73">
        <v>0.4008215955194786</v>
      </c>
      <c r="I59" s="73">
        <v>55</v>
      </c>
      <c r="J59" s="74">
        <f t="shared" si="1"/>
        <v>0.5806371088890937</v>
      </c>
    </row>
    <row r="60" spans="5:10" x14ac:dyDescent="0.3">
      <c r="E60" s="73">
        <f t="array" ref="E60:G60">MMULT(E59:G59,$A$5:$C$7)</f>
        <v>0.34507042214570555</v>
      </c>
      <c r="F60" s="73">
        <v>0.2541079811126547</v>
      </c>
      <c r="G60" s="73">
        <v>0.40082159674164097</v>
      </c>
      <c r="I60" s="73">
        <v>56</v>
      </c>
      <c r="J60" s="74">
        <f t="shared" si="1"/>
        <v>0.59634133449438531</v>
      </c>
    </row>
    <row r="61" spans="5:10" x14ac:dyDescent="0.3">
      <c r="E61" s="73">
        <f t="array" ref="E61:G61">MMULT(E60:G60,$A$5:$C$7)</f>
        <v>0.34507042280262618</v>
      </c>
      <c r="F61" s="73">
        <v>0.25410798129480672</v>
      </c>
      <c r="G61" s="73">
        <v>0.40082159590256838</v>
      </c>
      <c r="I61" s="73">
        <v>57</v>
      </c>
      <c r="J61" s="74">
        <f t="shared" si="1"/>
        <v>0.6120455596726786</v>
      </c>
    </row>
    <row r="62" spans="5:10" x14ac:dyDescent="0.3">
      <c r="E62" s="73">
        <f t="array" ref="E62:G62">MMULT(E61:G61,$A$5:$C$7)</f>
        <v>0.34507042235161894</v>
      </c>
      <c r="F62" s="73">
        <v>0.2541079811697507</v>
      </c>
      <c r="G62" s="73">
        <v>0.40082159647863164</v>
      </c>
      <c r="I62" s="73">
        <v>58</v>
      </c>
      <c r="J62" s="74">
        <f t="shared" si="1"/>
        <v>0.6277497851441266</v>
      </c>
    </row>
    <row r="63" spans="5:10" x14ac:dyDescent="0.3">
      <c r="E63" s="73">
        <f t="array" ref="E63:G63">MMULT(E62:G62,$A$5:$C$7)</f>
        <v>0.34507042266125687</v>
      </c>
      <c r="F63" s="73">
        <v>0.25410798125560763</v>
      </c>
      <c r="G63" s="73">
        <v>0.40082159608313683</v>
      </c>
      <c r="I63" s="73">
        <v>59</v>
      </c>
      <c r="J63" s="74">
        <f t="shared" si="1"/>
        <v>0.64345401041430994</v>
      </c>
    </row>
    <row r="64" spans="5:10" x14ac:dyDescent="0.3">
      <c r="E64" s="73">
        <f t="array" ref="E64:G64">MMULT(E63:G63,$A$5:$C$7)</f>
        <v>0.34507042244867575</v>
      </c>
      <c r="F64" s="73">
        <v>0.25410798119666278</v>
      </c>
      <c r="G64" s="73">
        <v>0.40082159635466286</v>
      </c>
      <c r="I64" s="73">
        <v>60</v>
      </c>
      <c r="J64" s="74">
        <f t="shared" si="1"/>
        <v>0.65915823582267097</v>
      </c>
    </row>
    <row r="65" spans="5:10" x14ac:dyDescent="0.3">
      <c r="E65" s="73">
        <f t="array" ref="E65:G65">MMULT(E64:G64,$A$5:$C$7)</f>
        <v>0.34507042259462284</v>
      </c>
      <c r="F65" s="73">
        <v>0.25410798123713119</v>
      </c>
      <c r="G65" s="73">
        <v>0.40082159616824736</v>
      </c>
      <c r="I65" s="73">
        <v>61</v>
      </c>
      <c r="J65" s="74">
        <f t="shared" si="1"/>
        <v>0.67486246113616644</v>
      </c>
    </row>
    <row r="66" spans="5:10" x14ac:dyDescent="0.3">
      <c r="E66" s="73">
        <f t="array" ref="E66:G66">MMULT(E65:G65,$A$5:$C$7)</f>
        <v>0.34507042249442321</v>
      </c>
      <c r="F66" s="73">
        <v>0.25410798120934774</v>
      </c>
      <c r="G66" s="73">
        <v>0.40082159629623049</v>
      </c>
      <c r="I66" s="73">
        <v>62</v>
      </c>
      <c r="J66" s="74">
        <f t="shared" si="1"/>
        <v>0.69056668651479169</v>
      </c>
    </row>
    <row r="67" spans="5:10" x14ac:dyDescent="0.3">
      <c r="E67" s="73">
        <f t="array" ref="E67:G67">MMULT(E66:G66,$A$5:$C$7)</f>
        <v>0.34507042256321507</v>
      </c>
      <c r="F67" s="73">
        <v>0.25410798122842243</v>
      </c>
      <c r="G67" s="73">
        <v>0.40082159620836399</v>
      </c>
      <c r="I67" s="73">
        <v>63</v>
      </c>
      <c r="J67" s="74">
        <f t="shared" si="1"/>
        <v>0.70627091184870228</v>
      </c>
    </row>
    <row r="68" spans="5:10" x14ac:dyDescent="0.3">
      <c r="E68" s="73">
        <f t="array" ref="E68:G68">MMULT(E67:G67,$A$5:$C$7)</f>
        <v>0.34507042251598619</v>
      </c>
      <c r="F68" s="73">
        <v>0.25410798121532674</v>
      </c>
      <c r="G68" s="73">
        <v>0.40082159626868857</v>
      </c>
      <c r="I68" s="73">
        <v>64</v>
      </c>
      <c r="J68" s="74">
        <f t="shared" si="1"/>
        <v>0.72197513721331164</v>
      </c>
    </row>
    <row r="69" spans="5:10" x14ac:dyDescent="0.3">
      <c r="E69" s="73">
        <f t="array" ref="E69:G69">MMULT(E68:G68,$A$5:$C$7)</f>
        <v>0.34507042254841108</v>
      </c>
      <c r="F69" s="73">
        <v>0.25410798122431755</v>
      </c>
      <c r="G69" s="73">
        <v>0.40082159622727287</v>
      </c>
      <c r="I69" s="73">
        <v>65</v>
      </c>
      <c r="J69" s="74">
        <f t="shared" si="1"/>
        <v>0.73767936255684474</v>
      </c>
    </row>
    <row r="70" spans="5:10" x14ac:dyDescent="0.3">
      <c r="E70" s="73">
        <f t="array" ref="E70:G70">MMULT(E69:G69,$A$5:$C$7)</f>
        <v>0.34507042252614983</v>
      </c>
      <c r="F70" s="73">
        <v>0.25410798121814493</v>
      </c>
      <c r="G70" s="73">
        <v>0.40082159625570668</v>
      </c>
      <c r="I70" s="73">
        <v>66</v>
      </c>
      <c r="J70" s="74">
        <f t="shared" ref="J70:J104" si="2">E70*($B$5-$C$5)+F70*($C$6-$A$6)+G70*($A$7-$B$7)+J69</f>
        <v>0.75338358791484761</v>
      </c>
    </row>
    <row r="71" spans="5:10" x14ac:dyDescent="0.3">
      <c r="E71" s="73">
        <f t="array" ref="E71:G71">MMULT(E70:G70,$A$5:$C$7)</f>
        <v>0.34507042254143322</v>
      </c>
      <c r="F71" s="73">
        <v>0.25410798122238276</v>
      </c>
      <c r="G71" s="73">
        <v>0.40082159623618552</v>
      </c>
      <c r="I71" s="73">
        <v>67</v>
      </c>
      <c r="J71" s="74">
        <f t="shared" si="2"/>
        <v>0.76908781326291631</v>
      </c>
    </row>
    <row r="72" spans="5:10" x14ac:dyDescent="0.3">
      <c r="E72" s="73">
        <f t="array" ref="E72:G72">MMULT(E71:G71,$A$5:$C$7)</f>
        <v>0.34507042253094045</v>
      </c>
      <c r="F72" s="73">
        <v>0.25410798121947331</v>
      </c>
      <c r="G72" s="73">
        <v>0.40082159624958774</v>
      </c>
      <c r="I72" s="73">
        <v>68</v>
      </c>
      <c r="J72" s="74">
        <f t="shared" si="2"/>
        <v>0.78479203861780533</v>
      </c>
    </row>
    <row r="73" spans="5:10" x14ac:dyDescent="0.3">
      <c r="E73" s="73">
        <f t="array" ref="E73:G73">MMULT(E72:G72,$A$5:$C$7)</f>
        <v>0.34507042253814424</v>
      </c>
      <c r="F73" s="73">
        <v>0.25410798122147077</v>
      </c>
      <c r="G73" s="73">
        <v>0.40082159624038649</v>
      </c>
      <c r="I73" s="73">
        <v>69</v>
      </c>
      <c r="J73" s="74">
        <f t="shared" si="2"/>
        <v>0.80049626396801188</v>
      </c>
    </row>
    <row r="74" spans="5:10" x14ac:dyDescent="0.3">
      <c r="E74" s="73">
        <f t="array" ref="E74:G74">MMULT(E73:G73,$A$5:$C$7)</f>
        <v>0.34507042253319853</v>
      </c>
      <c r="F74" s="73">
        <v>0.25410798122009942</v>
      </c>
      <c r="G74" s="73">
        <v>0.40082159624670355</v>
      </c>
      <c r="I74" s="73">
        <v>70</v>
      </c>
      <c r="J74" s="74">
        <f t="shared" si="2"/>
        <v>0.81620048932143319</v>
      </c>
    </row>
    <row r="75" spans="5:10" x14ac:dyDescent="0.3">
      <c r="E75" s="73">
        <f t="array" ref="E75:G75">MMULT(E74:G74,$A$5:$C$7)</f>
        <v>0.34507042253659398</v>
      </c>
      <c r="F75" s="73">
        <v>0.25410798122104095</v>
      </c>
      <c r="G75" s="73">
        <v>0.40082159624236663</v>
      </c>
      <c r="I75" s="73">
        <v>71</v>
      </c>
      <c r="J75" s="74">
        <f t="shared" si="2"/>
        <v>0.83190471467264748</v>
      </c>
    </row>
    <row r="76" spans="5:10" x14ac:dyDescent="0.3">
      <c r="E76" s="73">
        <f t="array" ref="E76:G76">MMULT(E75:G75,$A$5:$C$7)</f>
        <v>0.3450704225342629</v>
      </c>
      <c r="F76" s="73">
        <v>0.25410798122039452</v>
      </c>
      <c r="G76" s="73">
        <v>0.40082159624534419</v>
      </c>
      <c r="I76" s="73">
        <v>72</v>
      </c>
      <c r="J76" s="74">
        <f t="shared" si="2"/>
        <v>0.84760894002537701</v>
      </c>
    </row>
    <row r="77" spans="5:10" x14ac:dyDescent="0.3">
      <c r="E77" s="73">
        <f t="array" ref="E77:G77">MMULT(E76:G76,$A$5:$C$7)</f>
        <v>0.34507042253586329</v>
      </c>
      <c r="F77" s="73">
        <v>0.25410798122083833</v>
      </c>
      <c r="G77" s="73">
        <v>0.40082159624329994</v>
      </c>
      <c r="I77" s="73">
        <v>73</v>
      </c>
      <c r="J77" s="74">
        <f t="shared" si="2"/>
        <v>0.86331316537706626</v>
      </c>
    </row>
    <row r="78" spans="5:10" x14ac:dyDescent="0.3">
      <c r="E78" s="73">
        <f t="array" ref="E78:G78">MMULT(E77:G77,$A$5:$C$7)</f>
        <v>0.3450704225347645</v>
      </c>
      <c r="F78" s="73">
        <v>0.25410798122053363</v>
      </c>
      <c r="G78" s="73">
        <v>0.40082159624470337</v>
      </c>
      <c r="I78" s="73">
        <v>74</v>
      </c>
      <c r="J78" s="74">
        <f t="shared" si="2"/>
        <v>0.87901739072946961</v>
      </c>
    </row>
    <row r="79" spans="5:10" x14ac:dyDescent="0.3">
      <c r="E79" s="73">
        <f t="array" ref="E79:G79">MMULT(E78:G78,$A$5:$C$7)</f>
        <v>0.34507042253551889</v>
      </c>
      <c r="F79" s="73">
        <v>0.2541079812207428</v>
      </c>
      <c r="G79" s="73">
        <v>0.40082159624373986</v>
      </c>
      <c r="I79" s="73">
        <v>75</v>
      </c>
      <c r="J79" s="74">
        <f t="shared" si="2"/>
        <v>0.89472161608138268</v>
      </c>
    </row>
    <row r="80" spans="5:10" x14ac:dyDescent="0.3">
      <c r="E80" s="73">
        <f t="array" ref="E80:G80">MMULT(E79:G79,$A$5:$C$7)</f>
        <v>0.34507042253500098</v>
      </c>
      <c r="F80" s="73">
        <v>0.25410798122059919</v>
      </c>
      <c r="G80" s="73">
        <v>0.40082159624440139</v>
      </c>
      <c r="I80" s="73">
        <v>76</v>
      </c>
      <c r="J80" s="74">
        <f t="shared" si="2"/>
        <v>0.91042584143363237</v>
      </c>
    </row>
    <row r="81" spans="5:10" x14ac:dyDescent="0.3">
      <c r="E81" s="73">
        <f t="array" ref="E81:G81">MMULT(E80:G80,$A$5:$C$7)</f>
        <v>0.34507042253535658</v>
      </c>
      <c r="F81" s="73">
        <v>0.25410798122069783</v>
      </c>
      <c r="G81" s="73">
        <v>0.4008215962439472</v>
      </c>
      <c r="I81" s="73">
        <v>77</v>
      </c>
      <c r="J81" s="74">
        <f t="shared" si="2"/>
        <v>0.92613006678565091</v>
      </c>
    </row>
    <row r="82" spans="5:10" x14ac:dyDescent="0.3">
      <c r="E82" s="73">
        <f t="array" ref="E82:G82">MMULT(E81:G81,$A$5:$C$7)</f>
        <v>0.34507042253511244</v>
      </c>
      <c r="F82" s="73">
        <v>0.25410798122063016</v>
      </c>
      <c r="G82" s="73">
        <v>0.40082159624425906</v>
      </c>
      <c r="I82" s="73">
        <v>78</v>
      </c>
      <c r="J82" s="74">
        <f t="shared" si="2"/>
        <v>0.94183429213782821</v>
      </c>
    </row>
    <row r="83" spans="5:10" x14ac:dyDescent="0.3">
      <c r="E83" s="73">
        <f t="array" ref="E83:G83">MMULT(E82:G82,$A$5:$C$7)</f>
        <v>0.34507042253528009</v>
      </c>
      <c r="F83" s="73">
        <v>0.25410798122067657</v>
      </c>
      <c r="G83" s="73">
        <v>0.40082159624404501</v>
      </c>
      <c r="I83" s="73">
        <v>79</v>
      </c>
      <c r="J83" s="74">
        <f t="shared" si="2"/>
        <v>0.95753851748989649</v>
      </c>
    </row>
    <row r="84" spans="5:10" x14ac:dyDescent="0.3">
      <c r="E84" s="73">
        <f t="array" ref="E84:G84">MMULT(E83:G83,$A$5:$C$7)</f>
        <v>0.34507042253516501</v>
      </c>
      <c r="F84" s="73">
        <v>0.25410798122064471</v>
      </c>
      <c r="G84" s="73">
        <v>0.400821596244192</v>
      </c>
      <c r="I84" s="73">
        <v>80</v>
      </c>
      <c r="J84" s="74">
        <f t="shared" si="2"/>
        <v>0.9732427428420396</v>
      </c>
    </row>
    <row r="85" spans="5:10" x14ac:dyDescent="0.3">
      <c r="E85" s="73">
        <f t="array" ref="E85:G85">MMULT(E84:G84,$A$5:$C$7)</f>
        <v>0.345070422535244</v>
      </c>
      <c r="F85" s="73">
        <v>0.25410798122066663</v>
      </c>
      <c r="G85" s="73">
        <v>0.40082159624409108</v>
      </c>
      <c r="I85" s="73">
        <v>81</v>
      </c>
      <c r="J85" s="74">
        <f t="shared" si="2"/>
        <v>0.98894696819413141</v>
      </c>
    </row>
    <row r="86" spans="5:10" x14ac:dyDescent="0.3">
      <c r="E86" s="73">
        <f t="array" ref="E86:G86">MMULT(E85:G85,$A$5:$C$7)</f>
        <v>0.34507042253518977</v>
      </c>
      <c r="F86" s="73">
        <v>0.25410798122065159</v>
      </c>
      <c r="G86" s="73">
        <v>0.40082159624416036</v>
      </c>
      <c r="I86" s="73">
        <v>82</v>
      </c>
      <c r="J86" s="74">
        <f t="shared" si="2"/>
        <v>1.0046511935462585</v>
      </c>
    </row>
    <row r="87" spans="5:10" x14ac:dyDescent="0.3">
      <c r="E87" s="73">
        <f t="array" ref="E87:G87">MMULT(E86:G86,$A$5:$C$7)</f>
        <v>0.34507042253522702</v>
      </c>
      <c r="F87" s="73">
        <v>0.25410798122066192</v>
      </c>
      <c r="G87" s="73">
        <v>0.40082159624411284</v>
      </c>
      <c r="I87" s="73">
        <v>83</v>
      </c>
      <c r="J87" s="74">
        <f t="shared" si="2"/>
        <v>1.0203554188983615</v>
      </c>
    </row>
    <row r="88" spans="5:10" x14ac:dyDescent="0.3">
      <c r="E88" s="73">
        <f t="array" ref="E88:G88">MMULT(E87:G87,$A$5:$C$7)</f>
        <v>0.34507042253520148</v>
      </c>
      <c r="F88" s="73">
        <v>0.25410798122065481</v>
      </c>
      <c r="G88" s="73">
        <v>0.40082159624414548</v>
      </c>
      <c r="I88" s="73">
        <v>84</v>
      </c>
      <c r="J88" s="74">
        <f t="shared" si="2"/>
        <v>1.0360596442504808</v>
      </c>
    </row>
    <row r="89" spans="5:10" x14ac:dyDescent="0.3">
      <c r="E89" s="73">
        <f t="array" ref="E89:G89">MMULT(E88:G88,$A$5:$C$7)</f>
        <v>0.34507042253521902</v>
      </c>
      <c r="F89" s="73">
        <v>0.2541079812206597</v>
      </c>
      <c r="G89" s="73">
        <v>0.40082159624412306</v>
      </c>
      <c r="I89" s="73">
        <v>85</v>
      </c>
      <c r="J89" s="74">
        <f t="shared" si="2"/>
        <v>1.0517638696025888</v>
      </c>
    </row>
    <row r="90" spans="5:10" x14ac:dyDescent="0.3">
      <c r="E90" s="73">
        <f t="array" ref="E90:G90">MMULT(E89:G89,$A$5:$C$7)</f>
        <v>0.34507042253520698</v>
      </c>
      <c r="F90" s="73">
        <v>0.25410798122065636</v>
      </c>
      <c r="G90" s="73">
        <v>0.40082159624413849</v>
      </c>
      <c r="I90" s="73">
        <v>86</v>
      </c>
      <c r="J90" s="74">
        <f t="shared" si="2"/>
        <v>1.0674680949547046</v>
      </c>
    </row>
    <row r="91" spans="5:10" x14ac:dyDescent="0.3">
      <c r="E91" s="73">
        <f t="array" ref="E91:G91">MMULT(E90:G90,$A$5:$C$7)</f>
        <v>0.34507042253521525</v>
      </c>
      <c r="F91" s="73">
        <v>0.2541079812206587</v>
      </c>
      <c r="G91" s="73">
        <v>0.40082159624412789</v>
      </c>
      <c r="I91" s="73">
        <v>87</v>
      </c>
      <c r="J91" s="74">
        <f t="shared" si="2"/>
        <v>1.0831723203068151</v>
      </c>
    </row>
    <row r="92" spans="5:10" x14ac:dyDescent="0.3">
      <c r="E92" s="73">
        <f t="array" ref="E92:G92">MMULT(E91:G91,$A$5:$C$7)</f>
        <v>0.34507042253520959</v>
      </c>
      <c r="F92" s="73">
        <v>0.25410798122065709</v>
      </c>
      <c r="G92" s="73">
        <v>0.40082159624413516</v>
      </c>
      <c r="I92" s="73">
        <v>88</v>
      </c>
      <c r="J92" s="74">
        <f t="shared" si="2"/>
        <v>1.0988765456589293</v>
      </c>
    </row>
    <row r="93" spans="5:10" x14ac:dyDescent="0.3">
      <c r="E93" s="73">
        <f t="array" ref="E93:G93">MMULT(E92:G92,$A$5:$C$7)</f>
        <v>0.34507042253521347</v>
      </c>
      <c r="F93" s="73">
        <v>0.2541079812206582</v>
      </c>
      <c r="G93" s="73">
        <v>0.40082159624413016</v>
      </c>
      <c r="I93" s="73">
        <v>89</v>
      </c>
      <c r="J93" s="74">
        <f t="shared" si="2"/>
        <v>1.1145807710110409</v>
      </c>
    </row>
    <row r="94" spans="5:10" x14ac:dyDescent="0.3">
      <c r="E94" s="73">
        <f t="array" ref="E94:G94">MMULT(E93:G93,$A$5:$C$7)</f>
        <v>0.34507042253521081</v>
      </c>
      <c r="F94" s="73">
        <v>0.25410798122065748</v>
      </c>
      <c r="G94" s="73">
        <v>0.4008215962441336</v>
      </c>
      <c r="I94" s="73">
        <v>90</v>
      </c>
      <c r="J94" s="74">
        <f t="shared" si="2"/>
        <v>1.1302849963631543</v>
      </c>
    </row>
    <row r="95" spans="5:10" x14ac:dyDescent="0.3">
      <c r="E95" s="73">
        <f t="array" ref="E95:G95">MMULT(E94:G94,$A$5:$C$7)</f>
        <v>0.3450704225352127</v>
      </c>
      <c r="F95" s="73">
        <v>0.25410798122065797</v>
      </c>
      <c r="G95" s="73">
        <v>0.40082159624413127</v>
      </c>
      <c r="I95" s="73">
        <v>91</v>
      </c>
      <c r="J95" s="74">
        <f t="shared" si="2"/>
        <v>1.1459892217152665</v>
      </c>
    </row>
    <row r="96" spans="5:10" x14ac:dyDescent="0.3">
      <c r="E96" s="73">
        <f t="array" ref="E96:G96">MMULT(E95:G95,$A$5:$C$7)</f>
        <v>0.34507042253521142</v>
      </c>
      <c r="F96" s="73">
        <v>0.25410798122065764</v>
      </c>
      <c r="G96" s="73">
        <v>0.40082159624413294</v>
      </c>
      <c r="I96" s="73">
        <v>92</v>
      </c>
      <c r="J96" s="74">
        <f t="shared" si="2"/>
        <v>1.1616934470673796</v>
      </c>
    </row>
    <row r="97" spans="5:19" x14ac:dyDescent="0.3">
      <c r="E97" s="73">
        <f t="array" ref="E97:G97">MMULT(E96:G96,$A$5:$C$7)</f>
        <v>0.34507042253521231</v>
      </c>
      <c r="F97" s="73">
        <v>0.25410798122065792</v>
      </c>
      <c r="G97" s="73">
        <v>0.40082159624413183</v>
      </c>
      <c r="I97" s="73">
        <v>93</v>
      </c>
      <c r="J97" s="74">
        <f t="shared" si="2"/>
        <v>1.1773976724194921</v>
      </c>
    </row>
    <row r="98" spans="5:19" x14ac:dyDescent="0.3">
      <c r="E98" s="73">
        <f t="array" ref="E98:G98">MMULT(E97:G97,$A$5:$C$7)</f>
        <v>0.34507042253521175</v>
      </c>
      <c r="F98" s="73">
        <v>0.2541079812206577</v>
      </c>
      <c r="G98" s="73">
        <v>0.40082159624413261</v>
      </c>
      <c r="I98" s="73">
        <v>94</v>
      </c>
      <c r="J98" s="74">
        <f t="shared" si="2"/>
        <v>1.193101897771605</v>
      </c>
    </row>
    <row r="99" spans="5:19" x14ac:dyDescent="0.3">
      <c r="E99" s="73">
        <f t="array" ref="E99:G99">MMULT(E98:G98,$A$5:$C$7)</f>
        <v>0.34507042253521214</v>
      </c>
      <c r="F99" s="73">
        <v>0.25410798122065786</v>
      </c>
      <c r="G99" s="73">
        <v>0.40082159624413205</v>
      </c>
      <c r="I99" s="73">
        <v>95</v>
      </c>
      <c r="J99" s="74">
        <f t="shared" si="2"/>
        <v>1.2088061231237175</v>
      </c>
    </row>
    <row r="100" spans="5:19" x14ac:dyDescent="0.3">
      <c r="E100" s="73">
        <f t="array" ref="E100:G100">MMULT(E99:G99,$A$5:$C$7)</f>
        <v>0.34507042253521186</v>
      </c>
      <c r="F100" s="73">
        <v>0.25410798122065775</v>
      </c>
      <c r="G100" s="73">
        <v>0.40082159624413249</v>
      </c>
      <c r="I100" s="73">
        <v>96</v>
      </c>
      <c r="J100" s="74">
        <f t="shared" si="2"/>
        <v>1.2245103484758302</v>
      </c>
    </row>
    <row r="101" spans="5:19" x14ac:dyDescent="0.3">
      <c r="E101" s="73">
        <f t="array" ref="E101:G101">MMULT(E100:G100,$A$5:$C$7)</f>
        <v>0.34507042253521208</v>
      </c>
      <c r="F101" s="73">
        <v>0.25410798122065781</v>
      </c>
      <c r="G101" s="73">
        <v>0.40082159624413216</v>
      </c>
      <c r="I101" s="73">
        <v>97</v>
      </c>
      <c r="J101" s="74">
        <f t="shared" si="2"/>
        <v>1.2402145738279429</v>
      </c>
    </row>
    <row r="102" spans="5:19" x14ac:dyDescent="0.3">
      <c r="E102" s="73">
        <f t="array" ref="E102:G102">MMULT(E101:G101,$A$5:$C$7)</f>
        <v>0.34507042253521192</v>
      </c>
      <c r="F102" s="73">
        <v>0.25410798122065781</v>
      </c>
      <c r="G102" s="73">
        <v>0.40082159624413238</v>
      </c>
      <c r="I102" s="73">
        <v>98</v>
      </c>
      <c r="J102" s="74">
        <f t="shared" si="2"/>
        <v>1.2559187991800556</v>
      </c>
    </row>
    <row r="103" spans="5:19" x14ac:dyDescent="0.3">
      <c r="E103" s="73">
        <f t="array" ref="E103:G103">MMULT(E102:G102,$A$5:$C$7)</f>
        <v>0.34507042253521203</v>
      </c>
      <c r="F103" s="73">
        <v>0.25410798122065781</v>
      </c>
      <c r="G103" s="73">
        <v>0.40082159624413227</v>
      </c>
      <c r="I103" s="73">
        <v>99</v>
      </c>
      <c r="J103" s="74">
        <f t="shared" si="2"/>
        <v>1.2716230245321682</v>
      </c>
    </row>
    <row r="104" spans="5:19" x14ac:dyDescent="0.3">
      <c r="E104" s="73">
        <f t="array" ref="E104:G104">MMULT(E103:G103,$A$5:$C$7)</f>
        <v>0.34507042253521197</v>
      </c>
      <c r="F104" s="73">
        <v>0.25410798122065781</v>
      </c>
      <c r="G104" s="73">
        <v>0.40082159624413238</v>
      </c>
      <c r="I104" s="73">
        <v>100</v>
      </c>
      <c r="J104" s="74">
        <f t="shared" si="2"/>
        <v>1.2873272498842809</v>
      </c>
      <c r="K104" t="s">
        <v>40</v>
      </c>
    </row>
    <row r="107" spans="5:19" x14ac:dyDescent="0.3">
      <c r="E107" s="85" t="s">
        <v>55</v>
      </c>
      <c r="F107" s="81"/>
      <c r="G107" s="81"/>
      <c r="H107" s="81"/>
      <c r="M107" t="s">
        <v>74</v>
      </c>
    </row>
    <row r="108" spans="5:19" x14ac:dyDescent="0.3">
      <c r="E108" s="85" t="s">
        <v>53</v>
      </c>
      <c r="F108" s="81"/>
      <c r="G108" s="81"/>
      <c r="H108" s="81"/>
      <c r="M108" t="s">
        <v>72</v>
      </c>
      <c r="O108" s="74"/>
      <c r="P108" t="s">
        <v>45</v>
      </c>
      <c r="S108" s="81" t="s">
        <v>47</v>
      </c>
    </row>
    <row r="109" spans="5:19" x14ac:dyDescent="0.3">
      <c r="E109" s="81">
        <f t="array" ref="E109:G111">TRANSPOSE(A5:C7)</f>
        <v>0</v>
      </c>
      <c r="F109" s="81">
        <v>0.38</v>
      </c>
      <c r="G109" s="81">
        <v>0.62</v>
      </c>
      <c r="H109" s="81"/>
      <c r="M109" t="s">
        <v>14</v>
      </c>
      <c r="P109" s="77">
        <v>0</v>
      </c>
      <c r="Q109" s="77">
        <v>1</v>
      </c>
      <c r="R109" s="77">
        <v>2</v>
      </c>
      <c r="S109" s="89" t="s">
        <v>31</v>
      </c>
    </row>
    <row r="110" spans="5:19" x14ac:dyDescent="0.3">
      <c r="E110" s="81">
        <v>0.29499999999999998</v>
      </c>
      <c r="F110" s="81">
        <v>0</v>
      </c>
      <c r="G110" s="81">
        <v>0.38</v>
      </c>
      <c r="H110" s="81"/>
      <c r="M110" s="81">
        <v>0</v>
      </c>
      <c r="N110" s="81">
        <v>0.495</v>
      </c>
      <c r="O110" s="81">
        <v>0.505</v>
      </c>
      <c r="P110" s="81">
        <v>0.33333333333333331</v>
      </c>
      <c r="Q110" s="81">
        <v>0.33333333333333331</v>
      </c>
      <c r="R110" s="81">
        <v>0.33333333333333331</v>
      </c>
      <c r="S110" s="81">
        <f>P110*(N110-O110)+Q110*(O111-M111)+R110*(M112-N112)</f>
        <v>-1.0000000000000009E-2</v>
      </c>
    </row>
    <row r="111" spans="5:19" x14ac:dyDescent="0.3">
      <c r="E111" s="81">
        <v>0.70500000000000007</v>
      </c>
      <c r="F111" s="81">
        <v>0.62</v>
      </c>
      <c r="G111" s="81">
        <v>0</v>
      </c>
      <c r="H111" s="81"/>
      <c r="M111" s="81">
        <v>0.505</v>
      </c>
      <c r="N111" s="81">
        <v>0</v>
      </c>
      <c r="O111" s="81">
        <v>0.495</v>
      </c>
      <c r="P111" s="88">
        <v>0.33333333333333331</v>
      </c>
      <c r="Q111" s="88">
        <v>0.33333333333333331</v>
      </c>
      <c r="R111" s="88">
        <v>0.33333333333333331</v>
      </c>
      <c r="S111" s="81"/>
    </row>
    <row r="112" spans="5:19" x14ac:dyDescent="0.3">
      <c r="E112" s="85"/>
      <c r="F112" s="81"/>
      <c r="G112" s="81"/>
      <c r="H112" s="81"/>
      <c r="M112" s="81">
        <v>0.495</v>
      </c>
      <c r="N112" s="81">
        <v>0.505</v>
      </c>
      <c r="O112" s="81">
        <v>0</v>
      </c>
      <c r="P112" s="81" t="s">
        <v>48</v>
      </c>
      <c r="Q112" s="81" t="s">
        <v>48</v>
      </c>
      <c r="R112" s="81" t="s">
        <v>48</v>
      </c>
      <c r="S112" s="81"/>
    </row>
    <row r="113" spans="5:19" x14ac:dyDescent="0.3">
      <c r="E113" s="85" t="s">
        <v>54</v>
      </c>
      <c r="F113" s="81"/>
      <c r="G113" s="81"/>
      <c r="H113" s="81"/>
      <c r="P113" s="81"/>
      <c r="Q113" s="81"/>
      <c r="R113" s="81"/>
      <c r="S113" s="81"/>
    </row>
    <row r="114" spans="5:19" x14ac:dyDescent="0.3">
      <c r="E114" s="81">
        <v>-1</v>
      </c>
      <c r="F114" s="81">
        <f>F109</f>
        <v>0.38</v>
      </c>
      <c r="G114" s="81">
        <f>G109</f>
        <v>0.62</v>
      </c>
      <c r="H114" s="81"/>
      <c r="M114" t="s">
        <v>8</v>
      </c>
      <c r="P114" s="81"/>
      <c r="Q114" s="81"/>
      <c r="R114" s="81"/>
      <c r="S114" s="81"/>
    </row>
    <row r="115" spans="5:19" x14ac:dyDescent="0.3">
      <c r="E115" s="81">
        <f>E110</f>
        <v>0.29499999999999998</v>
      </c>
      <c r="F115" s="81">
        <v>-1</v>
      </c>
      <c r="G115" s="81">
        <f>G110</f>
        <v>0.38</v>
      </c>
      <c r="H115" s="81"/>
      <c r="M115" s="81">
        <v>0</v>
      </c>
      <c r="N115" s="81">
        <v>9.5000000000000001E-2</v>
      </c>
      <c r="O115" s="81">
        <v>0.90500000000000003</v>
      </c>
      <c r="P115" s="81">
        <v>0.38461538461538458</v>
      </c>
      <c r="Q115" s="81">
        <v>0.15384615384615383</v>
      </c>
      <c r="R115" s="81">
        <v>0.46153846153846156</v>
      </c>
      <c r="S115" s="90">
        <f>P115*(N115-O115)+Q115*(O116-M116)+R115*(M117-N117)</f>
        <v>-1.0000000000000009E-2</v>
      </c>
    </row>
    <row r="116" spans="5:19" x14ac:dyDescent="0.3">
      <c r="E116" s="81">
        <f>E111</f>
        <v>0.70500000000000007</v>
      </c>
      <c r="F116" s="81">
        <f>F111</f>
        <v>0.62</v>
      </c>
      <c r="G116" s="81">
        <v>-1</v>
      </c>
      <c r="H116" s="81"/>
      <c r="M116" s="81">
        <v>0.255</v>
      </c>
      <c r="N116" s="81">
        <v>0</v>
      </c>
      <c r="O116" s="81">
        <v>0.745</v>
      </c>
      <c r="P116" s="88">
        <f>P115</f>
        <v>0.38461538461538458</v>
      </c>
      <c r="Q116" s="88">
        <f>Q115</f>
        <v>0.15384615384615383</v>
      </c>
      <c r="R116" s="88">
        <f>R115</f>
        <v>0.46153846153846156</v>
      </c>
      <c r="S116" s="81"/>
    </row>
    <row r="117" spans="5:19" x14ac:dyDescent="0.3">
      <c r="E117" s="85"/>
      <c r="F117" s="81"/>
      <c r="G117" s="81"/>
      <c r="H117" s="81"/>
      <c r="M117" s="81">
        <v>0.745</v>
      </c>
      <c r="N117" s="81">
        <v>0.255</v>
      </c>
      <c r="O117" s="81">
        <v>0</v>
      </c>
      <c r="P117" s="81" t="s">
        <v>49</v>
      </c>
      <c r="Q117" s="81" t="s">
        <v>50</v>
      </c>
      <c r="R117" s="81" t="s">
        <v>50</v>
      </c>
      <c r="S117" s="81"/>
    </row>
    <row r="118" spans="5:19" x14ac:dyDescent="0.3">
      <c r="E118" s="85" t="s">
        <v>56</v>
      </c>
      <c r="F118" s="81"/>
      <c r="G118" s="81"/>
      <c r="H118" s="81"/>
      <c r="P118" s="81"/>
      <c r="Q118" s="81"/>
      <c r="R118" s="81"/>
      <c r="S118" s="81"/>
    </row>
    <row r="119" spans="5:19" x14ac:dyDescent="0.3">
      <c r="E119" s="85" t="s">
        <v>57</v>
      </c>
      <c r="F119" s="81"/>
      <c r="G119" s="81"/>
      <c r="H119" s="81"/>
      <c r="M119" t="s">
        <v>46</v>
      </c>
      <c r="P119" s="81"/>
      <c r="Q119" s="81"/>
      <c r="R119" s="81"/>
      <c r="S119" s="81"/>
    </row>
    <row r="120" spans="5:19" x14ac:dyDescent="0.3">
      <c r="E120" s="81">
        <f t="shared" ref="E120:G121" si="3">E114</f>
        <v>-1</v>
      </c>
      <c r="F120" s="81">
        <f t="shared" si="3"/>
        <v>0.38</v>
      </c>
      <c r="G120" s="81">
        <f t="shared" si="3"/>
        <v>0.62</v>
      </c>
      <c r="H120" s="81" t="s">
        <v>58</v>
      </c>
      <c r="J120" s="81">
        <v>0</v>
      </c>
      <c r="M120" s="81">
        <v>0</v>
      </c>
      <c r="N120" s="81">
        <v>0.29499999999999998</v>
      </c>
      <c r="O120" s="81">
        <v>0.70500000000000007</v>
      </c>
      <c r="P120" s="81">
        <v>0.34507042253521197</v>
      </c>
      <c r="Q120" s="81">
        <v>0.25410798122065781</v>
      </c>
      <c r="R120" s="81">
        <v>0.40082159624413238</v>
      </c>
      <c r="S120" s="90">
        <f>P120*(N120-O120)+Q120*(O121-M121)+R120*(M122-N122)</f>
        <v>1.5704225352112688E-2</v>
      </c>
    </row>
    <row r="121" spans="5:19" ht="18" x14ac:dyDescent="0.35">
      <c r="E121" s="81">
        <f t="shared" si="3"/>
        <v>0.29499999999999998</v>
      </c>
      <c r="F121" s="81">
        <f t="shared" si="3"/>
        <v>-1</v>
      </c>
      <c r="G121" s="81">
        <f t="shared" si="3"/>
        <v>0.38</v>
      </c>
      <c r="H121" s="81" t="s">
        <v>59</v>
      </c>
      <c r="I121" s="86" t="s">
        <v>61</v>
      </c>
      <c r="J121" s="81">
        <v>0</v>
      </c>
      <c r="M121" s="81">
        <v>0.38</v>
      </c>
      <c r="N121" s="81">
        <v>0</v>
      </c>
      <c r="O121" s="81">
        <v>0.62</v>
      </c>
      <c r="P121" s="88">
        <f>P120</f>
        <v>0.34507042253521197</v>
      </c>
      <c r="Q121" s="88">
        <f>Q120</f>
        <v>0.25410798122065781</v>
      </c>
      <c r="R121" s="88">
        <f>R120</f>
        <v>0.40082159624413238</v>
      </c>
    </row>
    <row r="122" spans="5:19" x14ac:dyDescent="0.3">
      <c r="E122" s="81">
        <v>1</v>
      </c>
      <c r="F122" s="81">
        <v>1</v>
      </c>
      <c r="G122" s="81">
        <v>1</v>
      </c>
      <c r="H122" s="81" t="s">
        <v>60</v>
      </c>
      <c r="J122" s="81">
        <v>1</v>
      </c>
      <c r="M122" s="81">
        <v>0.62</v>
      </c>
      <c r="N122" s="81">
        <v>0.38</v>
      </c>
      <c r="O122" s="81">
        <v>0</v>
      </c>
      <c r="P122" s="81" t="s">
        <v>51</v>
      </c>
      <c r="Q122" s="81" t="s">
        <v>52</v>
      </c>
      <c r="R122" s="81" t="s">
        <v>52</v>
      </c>
    </row>
    <row r="123" spans="5:19" x14ac:dyDescent="0.3">
      <c r="E123" s="85"/>
      <c r="F123" s="81"/>
      <c r="G123" s="81"/>
      <c r="H123" s="81"/>
    </row>
    <row r="124" spans="5:19" x14ac:dyDescent="0.3">
      <c r="E124" s="85" t="s">
        <v>62</v>
      </c>
      <c r="F124" s="81"/>
      <c r="G124" s="81"/>
      <c r="H124" s="81"/>
    </row>
    <row r="125" spans="5:19" x14ac:dyDescent="0.3">
      <c r="E125" s="85">
        <f t="array" ref="E125:G127">MINVERSE(E120:G122)</f>
        <v>-0.62296858071505956</v>
      </c>
      <c r="F125" s="81">
        <v>0.10834236186348861</v>
      </c>
      <c r="G125" s="81">
        <v>0.34507042253521125</v>
      </c>
      <c r="H125" s="81"/>
    </row>
    <row r="126" spans="5:19" x14ac:dyDescent="0.3">
      <c r="E126" s="85">
        <v>3.8371253159985574E-2</v>
      </c>
      <c r="F126" s="81">
        <v>-0.73131094257854823</v>
      </c>
      <c r="G126" s="81">
        <v>0.25410798122065725</v>
      </c>
      <c r="H126" s="81"/>
    </row>
    <row r="127" spans="5:19" x14ac:dyDescent="0.3">
      <c r="E127" s="85">
        <v>0.58459732755507399</v>
      </c>
      <c r="F127" s="81">
        <v>0.62296858071505956</v>
      </c>
      <c r="G127" s="81">
        <v>0.40082159624413144</v>
      </c>
      <c r="H127" s="81"/>
    </row>
    <row r="128" spans="5:19" x14ac:dyDescent="0.3">
      <c r="E128" s="81"/>
      <c r="F128" s="81"/>
      <c r="G128" s="81"/>
      <c r="H128" s="81"/>
    </row>
    <row r="129" spans="5:9" x14ac:dyDescent="0.3">
      <c r="E129" s="85" t="s">
        <v>66</v>
      </c>
      <c r="F129" s="81"/>
      <c r="G129" s="81"/>
      <c r="H129" s="81"/>
    </row>
    <row r="130" spans="5:9" x14ac:dyDescent="0.3">
      <c r="E130" s="81">
        <f t="array" ref="E130:E132">MMULT(E125:G127,J120:J122)</f>
        <v>0.34507042253521125</v>
      </c>
      <c r="F130" s="81"/>
      <c r="G130" s="81"/>
      <c r="H130" s="81"/>
    </row>
    <row r="131" spans="5:9" x14ac:dyDescent="0.3">
      <c r="E131" s="81">
        <v>0.25410798122065725</v>
      </c>
      <c r="F131" s="81"/>
      <c r="G131" s="81"/>
      <c r="H131" s="81"/>
    </row>
    <row r="132" spans="5:9" x14ac:dyDescent="0.3">
      <c r="E132" s="81">
        <v>0.40082159624413144</v>
      </c>
      <c r="F132" s="81"/>
      <c r="G132" s="81"/>
      <c r="H132" s="81"/>
    </row>
    <row r="133" spans="5:9" x14ac:dyDescent="0.3">
      <c r="E133" s="81"/>
      <c r="F133" s="81"/>
      <c r="G133" s="81"/>
      <c r="H133" s="81"/>
    </row>
    <row r="134" spans="5:9" ht="16.2" x14ac:dyDescent="0.3">
      <c r="E134" s="85" t="s">
        <v>63</v>
      </c>
      <c r="F134" s="81"/>
      <c r="G134" s="81"/>
      <c r="H134" s="81"/>
    </row>
    <row r="135" spans="5:9" ht="28.8" x14ac:dyDescent="0.3">
      <c r="E135" s="81" t="s">
        <v>68</v>
      </c>
      <c r="F135" s="81" t="s">
        <v>64</v>
      </c>
      <c r="G135" s="87" t="s">
        <v>65</v>
      </c>
      <c r="H135" s="85" t="s">
        <v>67</v>
      </c>
      <c r="I135" t="s">
        <v>70</v>
      </c>
    </row>
    <row r="136" spans="5:9" x14ac:dyDescent="0.3">
      <c r="E136" s="81">
        <v>0</v>
      </c>
      <c r="F136" s="81">
        <f>E104</f>
        <v>0.34507042253521197</v>
      </c>
      <c r="G136" s="81">
        <f>E130</f>
        <v>0.34507042253521125</v>
      </c>
      <c r="H136" s="81">
        <f>F136-G136</f>
        <v>7.2164496600635175E-16</v>
      </c>
      <c r="I136" s="46" t="s">
        <v>69</v>
      </c>
    </row>
    <row r="137" spans="5:9" x14ac:dyDescent="0.3">
      <c r="E137" s="81">
        <v>1</v>
      </c>
      <c r="F137" s="81">
        <f>F104</f>
        <v>0.25410798122065781</v>
      </c>
      <c r="G137" s="81">
        <f>E131</f>
        <v>0.25410798122065725</v>
      </c>
      <c r="H137" s="81">
        <f>F137-G137</f>
        <v>5.5511151231257827E-16</v>
      </c>
      <c r="I137" s="46" t="str">
        <f>"are"&amp;IF(AND(H136=0,H137=0,H138=0),""," almost")&amp;" at the steady-state."</f>
        <v>are almost at the steady-state.</v>
      </c>
    </row>
    <row r="138" spans="5:9" x14ac:dyDescent="0.3">
      <c r="E138" s="81">
        <v>2</v>
      </c>
      <c r="F138" s="81">
        <f>G104</f>
        <v>0.40082159624413238</v>
      </c>
      <c r="G138" s="81">
        <f>E132</f>
        <v>0.40082159624413144</v>
      </c>
      <c r="H138" s="81">
        <f>F138-G138</f>
        <v>9.4368957093138306E-16</v>
      </c>
    </row>
    <row r="139" spans="5:9" x14ac:dyDescent="0.3">
      <c r="E139" s="81"/>
      <c r="F139" s="81"/>
      <c r="G139" s="81"/>
      <c r="H139" s="81"/>
    </row>
    <row r="140" spans="5:9" x14ac:dyDescent="0.3">
      <c r="E140" s="85" t="s">
        <v>71</v>
      </c>
    </row>
    <row r="141" spans="5:9" x14ac:dyDescent="0.3">
      <c r="E141" s="81">
        <f>E130*(B5-C5)+E131*(C6-A6)+E132*(A7-B7)</f>
        <v>1.5704225352112633E-2</v>
      </c>
    </row>
  </sheetData>
  <mergeCells count="1">
    <mergeCell ref="E3:G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AD03-CDCF-4742-9CD0-8B821DE35AC6}">
  <sheetPr codeName="Sheet15"/>
  <dimension ref="A1:AA107"/>
  <sheetViews>
    <sheetView topLeftCell="B1" workbookViewId="0">
      <pane ySplit="7" topLeftCell="A8" activePane="bottomLeft" state="frozen"/>
      <selection activeCell="O8" sqref="O8"/>
      <selection pane="bottomLeft" activeCell="O8" sqref="O8"/>
    </sheetView>
  </sheetViews>
  <sheetFormatPr defaultRowHeight="14.4" x14ac:dyDescent="0.3"/>
  <cols>
    <col min="1" max="1" width="11.33203125" customWidth="1"/>
    <col min="4" max="4" width="8.6640625" customWidth="1"/>
    <col min="5" max="6" width="11.6640625" customWidth="1"/>
    <col min="7" max="7" width="11.33203125" customWidth="1"/>
    <col min="8" max="8" width="9.33203125" customWidth="1"/>
    <col min="9" max="9" width="14.6640625" customWidth="1"/>
    <col min="10" max="10" width="10.6640625" customWidth="1"/>
    <col min="11" max="12" width="9.33203125" customWidth="1"/>
    <col min="13" max="13" width="12" customWidth="1"/>
    <col min="14" max="14" width="9.33203125" customWidth="1"/>
    <col min="15" max="15" width="12.33203125" style="91" customWidth="1"/>
    <col min="16" max="16" width="9.33203125" customWidth="1"/>
    <col min="17" max="17" width="14.6640625" customWidth="1"/>
    <col min="18" max="21" width="9.33203125" customWidth="1"/>
    <col min="22" max="22" width="12.33203125" customWidth="1"/>
    <col min="23" max="35" width="9.33203125" customWidth="1"/>
    <col min="37" max="37" width="9.33203125" customWidth="1"/>
  </cols>
  <sheetData>
    <row r="1" spans="1:27" x14ac:dyDescent="0.3">
      <c r="A1" s="46" t="s">
        <v>73</v>
      </c>
      <c r="N1" s="46" t="s">
        <v>75</v>
      </c>
      <c r="Z1" s="83">
        <v>1</v>
      </c>
      <c r="AA1" s="83" t="s">
        <v>41</v>
      </c>
    </row>
    <row r="2" spans="1:27" ht="23.4" x14ac:dyDescent="0.45">
      <c r="N2" s="92" t="s">
        <v>76</v>
      </c>
      <c r="Z2" s="83"/>
      <c r="AA2" s="83" t="s">
        <v>42</v>
      </c>
    </row>
    <row r="3" spans="1:27" x14ac:dyDescent="0.3">
      <c r="A3" t="s">
        <v>14</v>
      </c>
      <c r="G3" t="s">
        <v>8</v>
      </c>
      <c r="Z3" s="83"/>
      <c r="AA3" s="83" t="s">
        <v>43</v>
      </c>
    </row>
    <row r="4" spans="1:27" x14ac:dyDescent="0.3">
      <c r="A4" t="s">
        <v>13</v>
      </c>
      <c r="B4" s="47">
        <v>5.0000000000000001E-3</v>
      </c>
      <c r="C4" t="s">
        <v>12</v>
      </c>
      <c r="G4" t="s">
        <v>11</v>
      </c>
      <c r="J4" t="s">
        <v>10</v>
      </c>
    </row>
    <row r="5" spans="1:27" x14ac:dyDescent="0.3">
      <c r="A5" t="s">
        <v>26</v>
      </c>
      <c r="B5" s="1">
        <f>0.5-B4</f>
        <v>0.495</v>
      </c>
      <c r="G5" t="s">
        <v>26</v>
      </c>
      <c r="H5" s="1">
        <f>0.1-B4</f>
        <v>9.5000000000000001E-2</v>
      </c>
      <c r="J5" t="s">
        <v>26</v>
      </c>
      <c r="K5" s="1">
        <f>0.75-B4</f>
        <v>0.745</v>
      </c>
    </row>
    <row r="6" spans="1:27" x14ac:dyDescent="0.3">
      <c r="P6" t="s">
        <v>9</v>
      </c>
      <c r="S6" t="s">
        <v>8</v>
      </c>
      <c r="T6" t="s">
        <v>7</v>
      </c>
    </row>
    <row r="7" spans="1:27" s="91" customFormat="1" x14ac:dyDescent="0.3">
      <c r="A7" s="91" t="s">
        <v>5</v>
      </c>
      <c r="B7" s="91" t="s">
        <v>0</v>
      </c>
      <c r="C7" s="91" t="s">
        <v>6</v>
      </c>
      <c r="G7" s="91" t="s">
        <v>5</v>
      </c>
      <c r="H7" s="91" t="s">
        <v>3</v>
      </c>
      <c r="I7" s="91" t="s">
        <v>2</v>
      </c>
      <c r="J7" s="91" t="s">
        <v>1</v>
      </c>
      <c r="K7" s="91" t="s">
        <v>0</v>
      </c>
      <c r="L7" s="91" t="s">
        <v>6</v>
      </c>
      <c r="N7" s="91" t="s">
        <v>5</v>
      </c>
      <c r="O7" s="91" t="s">
        <v>4</v>
      </c>
      <c r="P7" s="91" t="s">
        <v>3</v>
      </c>
      <c r="Q7" s="91" t="s">
        <v>2</v>
      </c>
      <c r="R7" s="91" t="s">
        <v>1</v>
      </c>
      <c r="S7" s="91" t="s">
        <v>0</v>
      </c>
      <c r="T7" s="91" t="s">
        <v>0</v>
      </c>
      <c r="U7" s="91" t="s">
        <v>6</v>
      </c>
    </row>
    <row r="8" spans="1:27" x14ac:dyDescent="0.3">
      <c r="A8">
        <v>1</v>
      </c>
      <c r="B8">
        <f t="shared" ref="B8:B71" ca="1" si="0">IF(RAND()&lt;=$B$5,1,0)</f>
        <v>1</v>
      </c>
      <c r="C8">
        <f ca="1">IF(B8=1,1,-1)</f>
        <v>1</v>
      </c>
      <c r="G8">
        <v>1</v>
      </c>
      <c r="H8" s="47">
        <v>0</v>
      </c>
      <c r="I8">
        <f t="shared" ref="I8:I71" si="1">MOD(H8,3)</f>
        <v>0</v>
      </c>
      <c r="J8">
        <f t="shared" ref="J8:J71" si="2">IF(I8=0,1,2)</f>
        <v>1</v>
      </c>
      <c r="K8">
        <f t="shared" ref="K8:K71" ca="1" si="3">IF(I8=0,IF(RAND()&lt;=$H$5,1,0),IF(RAND()&lt;=$K$5,1,0))</f>
        <v>1</v>
      </c>
      <c r="L8">
        <f ca="1">IF(K8=1,1,-1)</f>
        <v>1</v>
      </c>
      <c r="N8">
        <v>1</v>
      </c>
      <c r="O8" s="91" t="s">
        <v>38</v>
      </c>
      <c r="P8">
        <v>0</v>
      </c>
      <c r="Q8">
        <f t="shared" ref="Q8:Q71" si="4">MOD(P8,3)</f>
        <v>0</v>
      </c>
      <c r="R8">
        <v>1</v>
      </c>
      <c r="S8">
        <f ca="1">IF(RAND()&lt;=$H$5,1,0)</f>
        <v>0</v>
      </c>
      <c r="T8">
        <f t="shared" ref="T8:T71" ca="1" si="5">IF(O8="A",B8,S8)</f>
        <v>1</v>
      </c>
      <c r="U8">
        <f ca="1">IF(T8=1,1,-1)</f>
        <v>1</v>
      </c>
    </row>
    <row r="9" spans="1:27" x14ac:dyDescent="0.3">
      <c r="A9">
        <v>2</v>
      </c>
      <c r="B9">
        <f t="shared" ca="1" si="0"/>
        <v>0</v>
      </c>
      <c r="C9">
        <f t="shared" ref="C9:C72" ca="1" si="6">IF(B9=1,1+C8,-1+C8)</f>
        <v>0</v>
      </c>
      <c r="G9">
        <v>2</v>
      </c>
      <c r="H9">
        <f t="shared" ref="H9:H72" ca="1" si="7">L8</f>
        <v>1</v>
      </c>
      <c r="I9">
        <f t="shared" ca="1" si="1"/>
        <v>1</v>
      </c>
      <c r="J9">
        <f t="shared" ca="1" si="2"/>
        <v>2</v>
      </c>
      <c r="K9">
        <f t="shared" ca="1" si="3"/>
        <v>1</v>
      </c>
      <c r="L9">
        <f t="shared" ref="L9:L72" ca="1" si="8">IF(K9=1,1+L8,-1+L8)</f>
        <v>2</v>
      </c>
      <c r="N9">
        <v>2</v>
      </c>
      <c r="O9" s="91" t="s">
        <v>39</v>
      </c>
      <c r="P9">
        <f t="shared" ref="P9:P72" ca="1" si="9">U8</f>
        <v>1</v>
      </c>
      <c r="Q9">
        <f t="shared" ca="1" si="4"/>
        <v>1</v>
      </c>
      <c r="R9">
        <f t="shared" ref="R9:R72" ca="1" si="10">IF(Q9=0,1,2)</f>
        <v>2</v>
      </c>
      <c r="S9">
        <f t="shared" ref="S9:S72" ca="1" si="11">IF(Q9=0,IF(RAND()&lt;=$H$5,1,0),IF(RAND()&lt;=$K$5,1,0))</f>
        <v>1</v>
      </c>
      <c r="T9">
        <f t="shared" ca="1" si="5"/>
        <v>1</v>
      </c>
      <c r="U9">
        <f t="shared" ref="U9:U72" ca="1" si="12">IF(T9=1,1+U8,-1+U8)</f>
        <v>2</v>
      </c>
    </row>
    <row r="10" spans="1:27" x14ac:dyDescent="0.3">
      <c r="A10">
        <v>3</v>
      </c>
      <c r="B10">
        <f t="shared" ca="1" si="0"/>
        <v>0</v>
      </c>
      <c r="C10">
        <f t="shared" ca="1" si="6"/>
        <v>-1</v>
      </c>
      <c r="G10">
        <v>3</v>
      </c>
      <c r="H10">
        <f t="shared" ca="1" si="7"/>
        <v>2</v>
      </c>
      <c r="I10">
        <f t="shared" ca="1" si="1"/>
        <v>2</v>
      </c>
      <c r="J10">
        <f t="shared" ca="1" si="2"/>
        <v>2</v>
      </c>
      <c r="K10">
        <f t="shared" ca="1" si="3"/>
        <v>1</v>
      </c>
      <c r="L10">
        <f t="shared" ca="1" si="8"/>
        <v>3</v>
      </c>
      <c r="N10">
        <v>3</v>
      </c>
      <c r="O10" s="91" t="s">
        <v>38</v>
      </c>
      <c r="P10">
        <f t="shared" ca="1" si="9"/>
        <v>2</v>
      </c>
      <c r="Q10">
        <f t="shared" ca="1" si="4"/>
        <v>2</v>
      </c>
      <c r="R10">
        <f t="shared" ca="1" si="10"/>
        <v>2</v>
      </c>
      <c r="S10">
        <f t="shared" ca="1" si="11"/>
        <v>0</v>
      </c>
      <c r="T10">
        <f t="shared" ca="1" si="5"/>
        <v>0</v>
      </c>
      <c r="U10">
        <f t="shared" ca="1" si="12"/>
        <v>1</v>
      </c>
    </row>
    <row r="11" spans="1:27" x14ac:dyDescent="0.3">
      <c r="A11">
        <v>4</v>
      </c>
      <c r="B11">
        <f t="shared" ca="1" si="0"/>
        <v>1</v>
      </c>
      <c r="C11">
        <f t="shared" ca="1" si="6"/>
        <v>0</v>
      </c>
      <c r="G11">
        <v>4</v>
      </c>
      <c r="H11">
        <f t="shared" ca="1" si="7"/>
        <v>3</v>
      </c>
      <c r="I11">
        <f t="shared" ca="1" si="1"/>
        <v>0</v>
      </c>
      <c r="J11">
        <f t="shared" ca="1" si="2"/>
        <v>1</v>
      </c>
      <c r="K11">
        <f t="shared" ca="1" si="3"/>
        <v>0</v>
      </c>
      <c r="L11">
        <f t="shared" ca="1" si="8"/>
        <v>2</v>
      </c>
      <c r="N11">
        <v>4</v>
      </c>
      <c r="O11" s="91" t="s">
        <v>39</v>
      </c>
      <c r="P11">
        <f t="shared" ca="1" si="9"/>
        <v>1</v>
      </c>
      <c r="Q11">
        <f t="shared" ca="1" si="4"/>
        <v>1</v>
      </c>
      <c r="R11">
        <f t="shared" ca="1" si="10"/>
        <v>2</v>
      </c>
      <c r="S11">
        <f t="shared" ca="1" si="11"/>
        <v>1</v>
      </c>
      <c r="T11">
        <f t="shared" ca="1" si="5"/>
        <v>1</v>
      </c>
      <c r="U11">
        <f t="shared" ca="1" si="12"/>
        <v>2</v>
      </c>
    </row>
    <row r="12" spans="1:27" x14ac:dyDescent="0.3">
      <c r="A12">
        <v>5</v>
      </c>
      <c r="B12">
        <f t="shared" ca="1" si="0"/>
        <v>0</v>
      </c>
      <c r="C12">
        <f t="shared" ca="1" si="6"/>
        <v>-1</v>
      </c>
      <c r="G12">
        <v>5</v>
      </c>
      <c r="H12">
        <f t="shared" ca="1" si="7"/>
        <v>2</v>
      </c>
      <c r="I12">
        <f t="shared" ca="1" si="1"/>
        <v>2</v>
      </c>
      <c r="J12">
        <f t="shared" ca="1" si="2"/>
        <v>2</v>
      </c>
      <c r="K12">
        <f t="shared" ca="1" si="3"/>
        <v>1</v>
      </c>
      <c r="L12">
        <f t="shared" ca="1" si="8"/>
        <v>3</v>
      </c>
      <c r="N12">
        <v>5</v>
      </c>
      <c r="O12" s="91" t="s">
        <v>39</v>
      </c>
      <c r="P12">
        <f t="shared" ca="1" si="9"/>
        <v>2</v>
      </c>
      <c r="Q12">
        <f t="shared" ca="1" si="4"/>
        <v>2</v>
      </c>
      <c r="R12">
        <f t="shared" ca="1" si="10"/>
        <v>2</v>
      </c>
      <c r="S12">
        <f t="shared" ca="1" si="11"/>
        <v>1</v>
      </c>
      <c r="T12">
        <f t="shared" ca="1" si="5"/>
        <v>1</v>
      </c>
      <c r="U12">
        <f t="shared" ca="1" si="12"/>
        <v>3</v>
      </c>
    </row>
    <row r="13" spans="1:27" x14ac:dyDescent="0.3">
      <c r="A13">
        <v>6</v>
      </c>
      <c r="B13">
        <f t="shared" ca="1" si="0"/>
        <v>0</v>
      </c>
      <c r="C13">
        <f t="shared" ca="1" si="6"/>
        <v>-2</v>
      </c>
      <c r="G13">
        <v>6</v>
      </c>
      <c r="H13">
        <f t="shared" ca="1" si="7"/>
        <v>3</v>
      </c>
      <c r="I13">
        <f t="shared" ca="1" si="1"/>
        <v>0</v>
      </c>
      <c r="J13">
        <f t="shared" ca="1" si="2"/>
        <v>1</v>
      </c>
      <c r="K13">
        <f t="shared" ca="1" si="3"/>
        <v>0</v>
      </c>
      <c r="L13">
        <f t="shared" ca="1" si="8"/>
        <v>2</v>
      </c>
      <c r="N13">
        <v>6</v>
      </c>
      <c r="O13" s="91" t="s">
        <v>38</v>
      </c>
      <c r="P13">
        <f t="shared" ca="1" si="9"/>
        <v>3</v>
      </c>
      <c r="Q13">
        <f t="shared" ca="1" si="4"/>
        <v>0</v>
      </c>
      <c r="R13">
        <f t="shared" ca="1" si="10"/>
        <v>1</v>
      </c>
      <c r="S13">
        <f t="shared" ca="1" si="11"/>
        <v>0</v>
      </c>
      <c r="T13">
        <f t="shared" ca="1" si="5"/>
        <v>0</v>
      </c>
      <c r="U13">
        <f t="shared" ca="1" si="12"/>
        <v>2</v>
      </c>
    </row>
    <row r="14" spans="1:27" x14ac:dyDescent="0.3">
      <c r="A14">
        <v>7</v>
      </c>
      <c r="B14">
        <f t="shared" ca="1" si="0"/>
        <v>0</v>
      </c>
      <c r="C14">
        <f t="shared" ca="1" si="6"/>
        <v>-3</v>
      </c>
      <c r="G14">
        <v>7</v>
      </c>
      <c r="H14">
        <f t="shared" ca="1" si="7"/>
        <v>2</v>
      </c>
      <c r="I14">
        <f t="shared" ca="1" si="1"/>
        <v>2</v>
      </c>
      <c r="J14">
        <f t="shared" ca="1" si="2"/>
        <v>2</v>
      </c>
      <c r="K14">
        <f t="shared" ca="1" si="3"/>
        <v>1</v>
      </c>
      <c r="L14">
        <f t="shared" ca="1" si="8"/>
        <v>3</v>
      </c>
      <c r="N14">
        <v>7</v>
      </c>
      <c r="O14" s="91" t="s">
        <v>39</v>
      </c>
      <c r="P14">
        <f t="shared" ca="1" si="9"/>
        <v>2</v>
      </c>
      <c r="Q14">
        <f t="shared" ca="1" si="4"/>
        <v>2</v>
      </c>
      <c r="R14">
        <f t="shared" ca="1" si="10"/>
        <v>2</v>
      </c>
      <c r="S14">
        <f t="shared" ca="1" si="11"/>
        <v>0</v>
      </c>
      <c r="T14">
        <f t="shared" ca="1" si="5"/>
        <v>0</v>
      </c>
      <c r="U14">
        <f t="shared" ca="1" si="12"/>
        <v>1</v>
      </c>
    </row>
    <row r="15" spans="1:27" x14ac:dyDescent="0.3">
      <c r="A15">
        <v>8</v>
      </c>
      <c r="B15">
        <f t="shared" ca="1" si="0"/>
        <v>1</v>
      </c>
      <c r="C15">
        <f t="shared" ca="1" si="6"/>
        <v>-2</v>
      </c>
      <c r="G15">
        <v>8</v>
      </c>
      <c r="H15">
        <f t="shared" ca="1" si="7"/>
        <v>3</v>
      </c>
      <c r="I15">
        <f t="shared" ca="1" si="1"/>
        <v>0</v>
      </c>
      <c r="J15">
        <f t="shared" ca="1" si="2"/>
        <v>1</v>
      </c>
      <c r="K15">
        <f t="shared" ca="1" si="3"/>
        <v>1</v>
      </c>
      <c r="L15">
        <f t="shared" ca="1" si="8"/>
        <v>4</v>
      </c>
      <c r="N15">
        <v>8</v>
      </c>
      <c r="O15" s="91" t="s">
        <v>39</v>
      </c>
      <c r="P15">
        <f t="shared" ca="1" si="9"/>
        <v>1</v>
      </c>
      <c r="Q15">
        <f t="shared" ca="1" si="4"/>
        <v>1</v>
      </c>
      <c r="R15">
        <f t="shared" ca="1" si="10"/>
        <v>2</v>
      </c>
      <c r="S15">
        <f t="shared" ca="1" si="11"/>
        <v>0</v>
      </c>
      <c r="T15">
        <f t="shared" ca="1" si="5"/>
        <v>0</v>
      </c>
      <c r="U15">
        <f t="shared" ca="1" si="12"/>
        <v>0</v>
      </c>
    </row>
    <row r="16" spans="1:27" x14ac:dyDescent="0.3">
      <c r="A16">
        <v>9</v>
      </c>
      <c r="B16">
        <f t="shared" ca="1" si="0"/>
        <v>0</v>
      </c>
      <c r="C16">
        <f t="shared" ca="1" si="6"/>
        <v>-3</v>
      </c>
      <c r="G16">
        <v>9</v>
      </c>
      <c r="H16">
        <f t="shared" ca="1" si="7"/>
        <v>4</v>
      </c>
      <c r="I16">
        <f t="shared" ca="1" si="1"/>
        <v>1</v>
      </c>
      <c r="J16">
        <f t="shared" ca="1" si="2"/>
        <v>2</v>
      </c>
      <c r="K16">
        <f t="shared" ca="1" si="3"/>
        <v>1</v>
      </c>
      <c r="L16">
        <f t="shared" ca="1" si="8"/>
        <v>5</v>
      </c>
      <c r="N16">
        <v>9</v>
      </c>
      <c r="O16" s="91" t="s">
        <v>38</v>
      </c>
      <c r="P16">
        <f t="shared" ca="1" si="9"/>
        <v>0</v>
      </c>
      <c r="Q16">
        <f t="shared" ca="1" si="4"/>
        <v>0</v>
      </c>
      <c r="R16">
        <f t="shared" ca="1" si="10"/>
        <v>1</v>
      </c>
      <c r="S16">
        <f t="shared" ca="1" si="11"/>
        <v>0</v>
      </c>
      <c r="T16">
        <f t="shared" ca="1" si="5"/>
        <v>0</v>
      </c>
      <c r="U16">
        <f t="shared" ca="1" si="12"/>
        <v>-1</v>
      </c>
    </row>
    <row r="17" spans="1:21" x14ac:dyDescent="0.3">
      <c r="A17">
        <v>10</v>
      </c>
      <c r="B17">
        <f t="shared" ca="1" si="0"/>
        <v>1</v>
      </c>
      <c r="C17">
        <f t="shared" ca="1" si="6"/>
        <v>-2</v>
      </c>
      <c r="G17">
        <v>10</v>
      </c>
      <c r="H17">
        <f t="shared" ca="1" si="7"/>
        <v>5</v>
      </c>
      <c r="I17">
        <f t="shared" ca="1" si="1"/>
        <v>2</v>
      </c>
      <c r="J17">
        <f t="shared" ca="1" si="2"/>
        <v>2</v>
      </c>
      <c r="K17">
        <f t="shared" ca="1" si="3"/>
        <v>0</v>
      </c>
      <c r="L17">
        <f t="shared" ca="1" si="8"/>
        <v>4</v>
      </c>
      <c r="N17">
        <v>10</v>
      </c>
      <c r="O17" s="91" t="s">
        <v>39</v>
      </c>
      <c r="P17">
        <f t="shared" ca="1" si="9"/>
        <v>-1</v>
      </c>
      <c r="Q17">
        <f t="shared" ca="1" si="4"/>
        <v>2</v>
      </c>
      <c r="R17">
        <f t="shared" ca="1" si="10"/>
        <v>2</v>
      </c>
      <c r="S17">
        <f t="shared" ca="1" si="11"/>
        <v>1</v>
      </c>
      <c r="T17">
        <f t="shared" ca="1" si="5"/>
        <v>1</v>
      </c>
      <c r="U17">
        <f t="shared" ca="1" si="12"/>
        <v>0</v>
      </c>
    </row>
    <row r="18" spans="1:21" x14ac:dyDescent="0.3">
      <c r="A18">
        <v>11</v>
      </c>
      <c r="B18">
        <f t="shared" ca="1" si="0"/>
        <v>0</v>
      </c>
      <c r="C18">
        <f t="shared" ca="1" si="6"/>
        <v>-3</v>
      </c>
      <c r="G18">
        <v>11</v>
      </c>
      <c r="H18">
        <f t="shared" ca="1" si="7"/>
        <v>4</v>
      </c>
      <c r="I18">
        <f t="shared" ca="1" si="1"/>
        <v>1</v>
      </c>
      <c r="J18">
        <f t="shared" ca="1" si="2"/>
        <v>2</v>
      </c>
      <c r="K18">
        <f t="shared" ca="1" si="3"/>
        <v>1</v>
      </c>
      <c r="L18">
        <f t="shared" ca="1" si="8"/>
        <v>5</v>
      </c>
      <c r="N18">
        <v>11</v>
      </c>
      <c r="O18" s="91" t="s">
        <v>39</v>
      </c>
      <c r="P18">
        <f t="shared" ca="1" si="9"/>
        <v>0</v>
      </c>
      <c r="Q18">
        <f t="shared" ca="1" si="4"/>
        <v>0</v>
      </c>
      <c r="R18">
        <f t="shared" ca="1" si="10"/>
        <v>1</v>
      </c>
      <c r="S18">
        <f t="shared" ca="1" si="11"/>
        <v>0</v>
      </c>
      <c r="T18">
        <f t="shared" ca="1" si="5"/>
        <v>0</v>
      </c>
      <c r="U18">
        <f t="shared" ca="1" si="12"/>
        <v>-1</v>
      </c>
    </row>
    <row r="19" spans="1:21" x14ac:dyDescent="0.3">
      <c r="A19">
        <v>12</v>
      </c>
      <c r="B19">
        <f t="shared" ca="1" si="0"/>
        <v>0</v>
      </c>
      <c r="C19">
        <f t="shared" ca="1" si="6"/>
        <v>-4</v>
      </c>
      <c r="G19">
        <v>12</v>
      </c>
      <c r="H19">
        <f t="shared" ca="1" si="7"/>
        <v>5</v>
      </c>
      <c r="I19">
        <f t="shared" ca="1" si="1"/>
        <v>2</v>
      </c>
      <c r="J19">
        <f t="shared" ca="1" si="2"/>
        <v>2</v>
      </c>
      <c r="K19">
        <f t="shared" ca="1" si="3"/>
        <v>0</v>
      </c>
      <c r="L19">
        <f t="shared" ca="1" si="8"/>
        <v>4</v>
      </c>
      <c r="N19">
        <v>12</v>
      </c>
      <c r="O19" s="91" t="s">
        <v>38</v>
      </c>
      <c r="P19">
        <f t="shared" ca="1" si="9"/>
        <v>-1</v>
      </c>
      <c r="Q19">
        <f t="shared" ca="1" si="4"/>
        <v>2</v>
      </c>
      <c r="R19">
        <f t="shared" ca="1" si="10"/>
        <v>2</v>
      </c>
      <c r="S19">
        <f t="shared" ca="1" si="11"/>
        <v>1</v>
      </c>
      <c r="T19">
        <f t="shared" ca="1" si="5"/>
        <v>0</v>
      </c>
      <c r="U19">
        <f t="shared" ca="1" si="12"/>
        <v>-2</v>
      </c>
    </row>
    <row r="20" spans="1:21" x14ac:dyDescent="0.3">
      <c r="A20">
        <v>13</v>
      </c>
      <c r="B20">
        <f t="shared" ca="1" si="0"/>
        <v>0</v>
      </c>
      <c r="C20">
        <f t="shared" ca="1" si="6"/>
        <v>-5</v>
      </c>
      <c r="G20">
        <v>13</v>
      </c>
      <c r="H20">
        <f t="shared" ca="1" si="7"/>
        <v>4</v>
      </c>
      <c r="I20">
        <f t="shared" ca="1" si="1"/>
        <v>1</v>
      </c>
      <c r="J20">
        <f t="shared" ca="1" si="2"/>
        <v>2</v>
      </c>
      <c r="K20">
        <f t="shared" ca="1" si="3"/>
        <v>1</v>
      </c>
      <c r="L20">
        <f t="shared" ca="1" si="8"/>
        <v>5</v>
      </c>
      <c r="N20">
        <v>13</v>
      </c>
      <c r="O20" s="91" t="s">
        <v>39</v>
      </c>
      <c r="P20">
        <f t="shared" ca="1" si="9"/>
        <v>-2</v>
      </c>
      <c r="Q20">
        <f t="shared" ca="1" si="4"/>
        <v>1</v>
      </c>
      <c r="R20">
        <f t="shared" ca="1" si="10"/>
        <v>2</v>
      </c>
      <c r="S20">
        <f t="shared" ca="1" si="11"/>
        <v>0</v>
      </c>
      <c r="T20">
        <f t="shared" ca="1" si="5"/>
        <v>0</v>
      </c>
      <c r="U20">
        <f t="shared" ca="1" si="12"/>
        <v>-3</v>
      </c>
    </row>
    <row r="21" spans="1:21" x14ac:dyDescent="0.3">
      <c r="A21">
        <v>14</v>
      </c>
      <c r="B21">
        <f t="shared" ca="1" si="0"/>
        <v>1</v>
      </c>
      <c r="C21">
        <f t="shared" ca="1" si="6"/>
        <v>-4</v>
      </c>
      <c r="G21">
        <v>14</v>
      </c>
      <c r="H21">
        <f t="shared" ca="1" si="7"/>
        <v>5</v>
      </c>
      <c r="I21">
        <f t="shared" ca="1" si="1"/>
        <v>2</v>
      </c>
      <c r="J21">
        <f t="shared" ca="1" si="2"/>
        <v>2</v>
      </c>
      <c r="K21">
        <f t="shared" ca="1" si="3"/>
        <v>1</v>
      </c>
      <c r="L21">
        <f t="shared" ca="1" si="8"/>
        <v>6</v>
      </c>
      <c r="N21">
        <v>14</v>
      </c>
      <c r="O21" s="91" t="s">
        <v>39</v>
      </c>
      <c r="P21">
        <f t="shared" ca="1" si="9"/>
        <v>-3</v>
      </c>
      <c r="Q21">
        <f t="shared" ca="1" si="4"/>
        <v>0</v>
      </c>
      <c r="R21">
        <f t="shared" ca="1" si="10"/>
        <v>1</v>
      </c>
      <c r="S21">
        <f t="shared" ca="1" si="11"/>
        <v>0</v>
      </c>
      <c r="T21">
        <f t="shared" ca="1" si="5"/>
        <v>0</v>
      </c>
      <c r="U21">
        <f t="shared" ca="1" si="12"/>
        <v>-4</v>
      </c>
    </row>
    <row r="22" spans="1:21" x14ac:dyDescent="0.3">
      <c r="A22">
        <v>15</v>
      </c>
      <c r="B22">
        <f t="shared" ca="1" si="0"/>
        <v>0</v>
      </c>
      <c r="C22">
        <f t="shared" ca="1" si="6"/>
        <v>-5</v>
      </c>
      <c r="G22">
        <v>15</v>
      </c>
      <c r="H22">
        <f t="shared" ca="1" si="7"/>
        <v>6</v>
      </c>
      <c r="I22">
        <f t="shared" ca="1" si="1"/>
        <v>0</v>
      </c>
      <c r="J22">
        <f t="shared" ca="1" si="2"/>
        <v>1</v>
      </c>
      <c r="K22">
        <f t="shared" ca="1" si="3"/>
        <v>0</v>
      </c>
      <c r="L22">
        <f t="shared" ca="1" si="8"/>
        <v>5</v>
      </c>
      <c r="N22">
        <v>15</v>
      </c>
      <c r="O22" s="91" t="s">
        <v>38</v>
      </c>
      <c r="P22">
        <f t="shared" ca="1" si="9"/>
        <v>-4</v>
      </c>
      <c r="Q22">
        <f t="shared" ca="1" si="4"/>
        <v>2</v>
      </c>
      <c r="R22">
        <f t="shared" ca="1" si="10"/>
        <v>2</v>
      </c>
      <c r="S22">
        <f t="shared" ca="1" si="11"/>
        <v>0</v>
      </c>
      <c r="T22">
        <f t="shared" ca="1" si="5"/>
        <v>0</v>
      </c>
      <c r="U22">
        <f t="shared" ca="1" si="12"/>
        <v>-5</v>
      </c>
    </row>
    <row r="23" spans="1:21" x14ac:dyDescent="0.3">
      <c r="A23">
        <v>16</v>
      </c>
      <c r="B23">
        <f t="shared" ca="1" si="0"/>
        <v>1</v>
      </c>
      <c r="C23">
        <f t="shared" ca="1" si="6"/>
        <v>-4</v>
      </c>
      <c r="G23">
        <v>16</v>
      </c>
      <c r="H23">
        <f t="shared" ca="1" si="7"/>
        <v>5</v>
      </c>
      <c r="I23">
        <f t="shared" ca="1" si="1"/>
        <v>2</v>
      </c>
      <c r="J23">
        <f t="shared" ca="1" si="2"/>
        <v>2</v>
      </c>
      <c r="K23">
        <f t="shared" ca="1" si="3"/>
        <v>1</v>
      </c>
      <c r="L23">
        <f t="shared" ca="1" si="8"/>
        <v>6</v>
      </c>
      <c r="N23">
        <v>16</v>
      </c>
      <c r="O23" s="91" t="s">
        <v>39</v>
      </c>
      <c r="P23">
        <f t="shared" ca="1" si="9"/>
        <v>-5</v>
      </c>
      <c r="Q23">
        <f t="shared" ca="1" si="4"/>
        <v>1</v>
      </c>
      <c r="R23">
        <f t="shared" ca="1" si="10"/>
        <v>2</v>
      </c>
      <c r="S23">
        <f t="shared" ca="1" si="11"/>
        <v>0</v>
      </c>
      <c r="T23">
        <f t="shared" ca="1" si="5"/>
        <v>0</v>
      </c>
      <c r="U23">
        <f t="shared" ca="1" si="12"/>
        <v>-6</v>
      </c>
    </row>
    <row r="24" spans="1:21" x14ac:dyDescent="0.3">
      <c r="A24">
        <v>17</v>
      </c>
      <c r="B24">
        <f t="shared" ca="1" si="0"/>
        <v>1</v>
      </c>
      <c r="C24">
        <f t="shared" ca="1" si="6"/>
        <v>-3</v>
      </c>
      <c r="G24">
        <v>17</v>
      </c>
      <c r="H24">
        <f t="shared" ca="1" si="7"/>
        <v>6</v>
      </c>
      <c r="I24">
        <f t="shared" ca="1" si="1"/>
        <v>0</v>
      </c>
      <c r="J24">
        <f t="shared" ca="1" si="2"/>
        <v>1</v>
      </c>
      <c r="K24">
        <f t="shared" ca="1" si="3"/>
        <v>0</v>
      </c>
      <c r="L24">
        <f t="shared" ca="1" si="8"/>
        <v>5</v>
      </c>
      <c r="N24">
        <v>17</v>
      </c>
      <c r="O24" s="91" t="s">
        <v>39</v>
      </c>
      <c r="P24">
        <f t="shared" ca="1" si="9"/>
        <v>-6</v>
      </c>
      <c r="Q24">
        <f t="shared" ca="1" si="4"/>
        <v>0</v>
      </c>
      <c r="R24">
        <f t="shared" ca="1" si="10"/>
        <v>1</v>
      </c>
      <c r="S24">
        <f t="shared" ca="1" si="11"/>
        <v>0</v>
      </c>
      <c r="T24">
        <f t="shared" ca="1" si="5"/>
        <v>0</v>
      </c>
      <c r="U24">
        <f t="shared" ca="1" si="12"/>
        <v>-7</v>
      </c>
    </row>
    <row r="25" spans="1:21" x14ac:dyDescent="0.3">
      <c r="A25">
        <v>18</v>
      </c>
      <c r="B25">
        <f t="shared" ca="1" si="0"/>
        <v>1</v>
      </c>
      <c r="C25">
        <f t="shared" ca="1" si="6"/>
        <v>-2</v>
      </c>
      <c r="G25">
        <v>18</v>
      </c>
      <c r="H25">
        <f t="shared" ca="1" si="7"/>
        <v>5</v>
      </c>
      <c r="I25">
        <f t="shared" ca="1" si="1"/>
        <v>2</v>
      </c>
      <c r="J25">
        <f t="shared" ca="1" si="2"/>
        <v>2</v>
      </c>
      <c r="K25">
        <f t="shared" ca="1" si="3"/>
        <v>1</v>
      </c>
      <c r="L25">
        <f t="shared" ca="1" si="8"/>
        <v>6</v>
      </c>
      <c r="N25">
        <v>18</v>
      </c>
      <c r="O25" s="91" t="s">
        <v>38</v>
      </c>
      <c r="P25">
        <f t="shared" ca="1" si="9"/>
        <v>-7</v>
      </c>
      <c r="Q25">
        <f t="shared" ca="1" si="4"/>
        <v>2</v>
      </c>
      <c r="R25">
        <f t="shared" ca="1" si="10"/>
        <v>2</v>
      </c>
      <c r="S25">
        <f t="shared" ca="1" si="11"/>
        <v>1</v>
      </c>
      <c r="T25">
        <f t="shared" ca="1" si="5"/>
        <v>1</v>
      </c>
      <c r="U25">
        <f t="shared" ca="1" si="12"/>
        <v>-6</v>
      </c>
    </row>
    <row r="26" spans="1:21" x14ac:dyDescent="0.3">
      <c r="A26">
        <v>19</v>
      </c>
      <c r="B26">
        <f t="shared" ca="1" si="0"/>
        <v>1</v>
      </c>
      <c r="C26">
        <f t="shared" ca="1" si="6"/>
        <v>-1</v>
      </c>
      <c r="G26">
        <v>19</v>
      </c>
      <c r="H26">
        <f t="shared" ca="1" si="7"/>
        <v>6</v>
      </c>
      <c r="I26">
        <f t="shared" ca="1" si="1"/>
        <v>0</v>
      </c>
      <c r="J26">
        <f t="shared" ca="1" si="2"/>
        <v>1</v>
      </c>
      <c r="K26">
        <f t="shared" ca="1" si="3"/>
        <v>0</v>
      </c>
      <c r="L26">
        <f t="shared" ca="1" si="8"/>
        <v>5</v>
      </c>
      <c r="N26">
        <v>19</v>
      </c>
      <c r="O26" s="91" t="s">
        <v>39</v>
      </c>
      <c r="P26">
        <f t="shared" ca="1" si="9"/>
        <v>-6</v>
      </c>
      <c r="Q26">
        <f t="shared" ca="1" si="4"/>
        <v>0</v>
      </c>
      <c r="R26">
        <f t="shared" ca="1" si="10"/>
        <v>1</v>
      </c>
      <c r="S26">
        <f t="shared" ca="1" si="11"/>
        <v>0</v>
      </c>
      <c r="T26">
        <f t="shared" ca="1" si="5"/>
        <v>0</v>
      </c>
      <c r="U26">
        <f t="shared" ca="1" si="12"/>
        <v>-7</v>
      </c>
    </row>
    <row r="27" spans="1:21" x14ac:dyDescent="0.3">
      <c r="A27">
        <v>20</v>
      </c>
      <c r="B27">
        <f t="shared" ca="1" si="0"/>
        <v>0</v>
      </c>
      <c r="C27">
        <f t="shared" ca="1" si="6"/>
        <v>-2</v>
      </c>
      <c r="G27">
        <v>20</v>
      </c>
      <c r="H27">
        <f t="shared" ca="1" si="7"/>
        <v>5</v>
      </c>
      <c r="I27">
        <f t="shared" ca="1" si="1"/>
        <v>2</v>
      </c>
      <c r="J27">
        <f t="shared" ca="1" si="2"/>
        <v>2</v>
      </c>
      <c r="K27">
        <f t="shared" ca="1" si="3"/>
        <v>1</v>
      </c>
      <c r="L27">
        <f t="shared" ca="1" si="8"/>
        <v>6</v>
      </c>
      <c r="N27">
        <v>20</v>
      </c>
      <c r="O27" s="91" t="s">
        <v>39</v>
      </c>
      <c r="P27">
        <f t="shared" ca="1" si="9"/>
        <v>-7</v>
      </c>
      <c r="Q27">
        <f t="shared" ca="1" si="4"/>
        <v>2</v>
      </c>
      <c r="R27">
        <f t="shared" ca="1" si="10"/>
        <v>2</v>
      </c>
      <c r="S27">
        <f t="shared" ca="1" si="11"/>
        <v>1</v>
      </c>
      <c r="T27">
        <f t="shared" ca="1" si="5"/>
        <v>1</v>
      </c>
      <c r="U27">
        <f t="shared" ca="1" si="12"/>
        <v>-6</v>
      </c>
    </row>
    <row r="28" spans="1:21" x14ac:dyDescent="0.3">
      <c r="A28">
        <v>21</v>
      </c>
      <c r="B28">
        <f t="shared" ca="1" si="0"/>
        <v>1</v>
      </c>
      <c r="C28">
        <f t="shared" ca="1" si="6"/>
        <v>-1</v>
      </c>
      <c r="G28">
        <v>21</v>
      </c>
      <c r="H28">
        <f t="shared" ca="1" si="7"/>
        <v>6</v>
      </c>
      <c r="I28">
        <f t="shared" ca="1" si="1"/>
        <v>0</v>
      </c>
      <c r="J28">
        <f t="shared" ca="1" si="2"/>
        <v>1</v>
      </c>
      <c r="K28">
        <f t="shared" ca="1" si="3"/>
        <v>0</v>
      </c>
      <c r="L28">
        <f t="shared" ca="1" si="8"/>
        <v>5</v>
      </c>
      <c r="N28">
        <v>21</v>
      </c>
      <c r="O28" s="91" t="s">
        <v>38</v>
      </c>
      <c r="P28">
        <f t="shared" ca="1" si="9"/>
        <v>-6</v>
      </c>
      <c r="Q28">
        <f t="shared" ca="1" si="4"/>
        <v>0</v>
      </c>
      <c r="R28">
        <f t="shared" ca="1" si="10"/>
        <v>1</v>
      </c>
      <c r="S28">
        <f t="shared" ca="1" si="11"/>
        <v>0</v>
      </c>
      <c r="T28">
        <f t="shared" ca="1" si="5"/>
        <v>1</v>
      </c>
      <c r="U28">
        <f t="shared" ca="1" si="12"/>
        <v>-5</v>
      </c>
    </row>
    <row r="29" spans="1:21" x14ac:dyDescent="0.3">
      <c r="A29">
        <v>22</v>
      </c>
      <c r="B29">
        <f t="shared" ca="1" si="0"/>
        <v>0</v>
      </c>
      <c r="C29">
        <f t="shared" ca="1" si="6"/>
        <v>-2</v>
      </c>
      <c r="G29">
        <v>22</v>
      </c>
      <c r="H29">
        <f t="shared" ca="1" si="7"/>
        <v>5</v>
      </c>
      <c r="I29">
        <f t="shared" ca="1" si="1"/>
        <v>2</v>
      </c>
      <c r="J29">
        <f t="shared" ca="1" si="2"/>
        <v>2</v>
      </c>
      <c r="K29">
        <f t="shared" ca="1" si="3"/>
        <v>1</v>
      </c>
      <c r="L29">
        <f t="shared" ca="1" si="8"/>
        <v>6</v>
      </c>
      <c r="N29">
        <v>22</v>
      </c>
      <c r="O29" s="91" t="s">
        <v>39</v>
      </c>
      <c r="P29">
        <f t="shared" ca="1" si="9"/>
        <v>-5</v>
      </c>
      <c r="Q29">
        <f t="shared" ca="1" si="4"/>
        <v>1</v>
      </c>
      <c r="R29">
        <f t="shared" ca="1" si="10"/>
        <v>2</v>
      </c>
      <c r="S29">
        <f t="shared" ca="1" si="11"/>
        <v>1</v>
      </c>
      <c r="T29">
        <f t="shared" ca="1" si="5"/>
        <v>1</v>
      </c>
      <c r="U29">
        <f t="shared" ca="1" si="12"/>
        <v>-4</v>
      </c>
    </row>
    <row r="30" spans="1:21" x14ac:dyDescent="0.3">
      <c r="A30">
        <v>23</v>
      </c>
      <c r="B30">
        <f t="shared" ca="1" si="0"/>
        <v>0</v>
      </c>
      <c r="C30">
        <f t="shared" ca="1" si="6"/>
        <v>-3</v>
      </c>
      <c r="G30">
        <v>23</v>
      </c>
      <c r="H30">
        <f t="shared" ca="1" si="7"/>
        <v>6</v>
      </c>
      <c r="I30">
        <f t="shared" ca="1" si="1"/>
        <v>0</v>
      </c>
      <c r="J30">
        <f t="shared" ca="1" si="2"/>
        <v>1</v>
      </c>
      <c r="K30">
        <f t="shared" ca="1" si="3"/>
        <v>0</v>
      </c>
      <c r="L30">
        <f t="shared" ca="1" si="8"/>
        <v>5</v>
      </c>
      <c r="N30">
        <v>23</v>
      </c>
      <c r="O30" s="91" t="s">
        <v>39</v>
      </c>
      <c r="P30">
        <f t="shared" ca="1" si="9"/>
        <v>-4</v>
      </c>
      <c r="Q30">
        <f t="shared" ca="1" si="4"/>
        <v>2</v>
      </c>
      <c r="R30">
        <f t="shared" ca="1" si="10"/>
        <v>2</v>
      </c>
      <c r="S30">
        <f t="shared" ca="1" si="11"/>
        <v>0</v>
      </c>
      <c r="T30">
        <f t="shared" ca="1" si="5"/>
        <v>0</v>
      </c>
      <c r="U30">
        <f t="shared" ca="1" si="12"/>
        <v>-5</v>
      </c>
    </row>
    <row r="31" spans="1:21" x14ac:dyDescent="0.3">
      <c r="A31">
        <v>24</v>
      </c>
      <c r="B31">
        <f t="shared" ca="1" si="0"/>
        <v>0</v>
      </c>
      <c r="C31">
        <f t="shared" ca="1" si="6"/>
        <v>-4</v>
      </c>
      <c r="G31">
        <v>24</v>
      </c>
      <c r="H31">
        <f t="shared" ca="1" si="7"/>
        <v>5</v>
      </c>
      <c r="I31">
        <f t="shared" ca="1" si="1"/>
        <v>2</v>
      </c>
      <c r="J31">
        <f t="shared" ca="1" si="2"/>
        <v>2</v>
      </c>
      <c r="K31">
        <f t="shared" ca="1" si="3"/>
        <v>1</v>
      </c>
      <c r="L31">
        <f t="shared" ca="1" si="8"/>
        <v>6</v>
      </c>
      <c r="N31">
        <v>24</v>
      </c>
      <c r="O31" s="91" t="s">
        <v>38</v>
      </c>
      <c r="P31">
        <f t="shared" ca="1" si="9"/>
        <v>-5</v>
      </c>
      <c r="Q31">
        <f t="shared" ca="1" si="4"/>
        <v>1</v>
      </c>
      <c r="R31">
        <f t="shared" ca="1" si="10"/>
        <v>2</v>
      </c>
      <c r="S31">
        <f t="shared" ca="1" si="11"/>
        <v>1</v>
      </c>
      <c r="T31">
        <f t="shared" ca="1" si="5"/>
        <v>0</v>
      </c>
      <c r="U31">
        <f t="shared" ca="1" si="12"/>
        <v>-6</v>
      </c>
    </row>
    <row r="32" spans="1:21" x14ac:dyDescent="0.3">
      <c r="A32">
        <v>25</v>
      </c>
      <c r="B32">
        <f t="shared" ca="1" si="0"/>
        <v>0</v>
      </c>
      <c r="C32">
        <f t="shared" ca="1" si="6"/>
        <v>-5</v>
      </c>
      <c r="G32">
        <v>25</v>
      </c>
      <c r="H32">
        <f t="shared" ca="1" si="7"/>
        <v>6</v>
      </c>
      <c r="I32">
        <f t="shared" ca="1" si="1"/>
        <v>0</v>
      </c>
      <c r="J32">
        <f t="shared" ca="1" si="2"/>
        <v>1</v>
      </c>
      <c r="K32">
        <f t="shared" ca="1" si="3"/>
        <v>0</v>
      </c>
      <c r="L32">
        <f t="shared" ca="1" si="8"/>
        <v>5</v>
      </c>
      <c r="N32">
        <v>25</v>
      </c>
      <c r="O32" s="91" t="s">
        <v>39</v>
      </c>
      <c r="P32">
        <f t="shared" ca="1" si="9"/>
        <v>-6</v>
      </c>
      <c r="Q32">
        <f t="shared" ca="1" si="4"/>
        <v>0</v>
      </c>
      <c r="R32">
        <f t="shared" ca="1" si="10"/>
        <v>1</v>
      </c>
      <c r="S32">
        <f t="shared" ca="1" si="11"/>
        <v>0</v>
      </c>
      <c r="T32">
        <f t="shared" ca="1" si="5"/>
        <v>0</v>
      </c>
      <c r="U32">
        <f t="shared" ca="1" si="12"/>
        <v>-7</v>
      </c>
    </row>
    <row r="33" spans="1:21" x14ac:dyDescent="0.3">
      <c r="A33">
        <v>26</v>
      </c>
      <c r="B33">
        <f t="shared" ca="1" si="0"/>
        <v>1</v>
      </c>
      <c r="C33">
        <f t="shared" ca="1" si="6"/>
        <v>-4</v>
      </c>
      <c r="G33">
        <v>26</v>
      </c>
      <c r="H33">
        <f t="shared" ca="1" si="7"/>
        <v>5</v>
      </c>
      <c r="I33">
        <f t="shared" ca="1" si="1"/>
        <v>2</v>
      </c>
      <c r="J33">
        <f t="shared" ca="1" si="2"/>
        <v>2</v>
      </c>
      <c r="K33">
        <f t="shared" ca="1" si="3"/>
        <v>1</v>
      </c>
      <c r="L33">
        <f t="shared" ca="1" si="8"/>
        <v>6</v>
      </c>
      <c r="N33">
        <v>26</v>
      </c>
      <c r="O33" s="91" t="s">
        <v>39</v>
      </c>
      <c r="P33">
        <f t="shared" ca="1" si="9"/>
        <v>-7</v>
      </c>
      <c r="Q33">
        <f t="shared" ca="1" si="4"/>
        <v>2</v>
      </c>
      <c r="R33">
        <f t="shared" ca="1" si="10"/>
        <v>2</v>
      </c>
      <c r="S33">
        <f t="shared" ca="1" si="11"/>
        <v>1</v>
      </c>
      <c r="T33">
        <f t="shared" ca="1" si="5"/>
        <v>1</v>
      </c>
      <c r="U33">
        <f t="shared" ca="1" si="12"/>
        <v>-6</v>
      </c>
    </row>
    <row r="34" spans="1:21" x14ac:dyDescent="0.3">
      <c r="A34">
        <v>27</v>
      </c>
      <c r="B34">
        <f t="shared" ca="1" si="0"/>
        <v>0</v>
      </c>
      <c r="C34">
        <f t="shared" ca="1" si="6"/>
        <v>-5</v>
      </c>
      <c r="G34">
        <v>27</v>
      </c>
      <c r="H34">
        <f t="shared" ca="1" si="7"/>
        <v>6</v>
      </c>
      <c r="I34">
        <f t="shared" ca="1" si="1"/>
        <v>0</v>
      </c>
      <c r="J34">
        <f t="shared" ca="1" si="2"/>
        <v>1</v>
      </c>
      <c r="K34">
        <f t="shared" ca="1" si="3"/>
        <v>0</v>
      </c>
      <c r="L34">
        <f t="shared" ca="1" si="8"/>
        <v>5</v>
      </c>
      <c r="N34">
        <v>27</v>
      </c>
      <c r="O34" s="91" t="s">
        <v>38</v>
      </c>
      <c r="P34">
        <f t="shared" ca="1" si="9"/>
        <v>-6</v>
      </c>
      <c r="Q34">
        <f t="shared" ca="1" si="4"/>
        <v>0</v>
      </c>
      <c r="R34">
        <f t="shared" ca="1" si="10"/>
        <v>1</v>
      </c>
      <c r="S34">
        <f t="shared" ca="1" si="11"/>
        <v>0</v>
      </c>
      <c r="T34">
        <f t="shared" ca="1" si="5"/>
        <v>0</v>
      </c>
      <c r="U34">
        <f t="shared" ca="1" si="12"/>
        <v>-7</v>
      </c>
    </row>
    <row r="35" spans="1:21" x14ac:dyDescent="0.3">
      <c r="A35">
        <v>28</v>
      </c>
      <c r="B35">
        <f t="shared" ca="1" si="0"/>
        <v>1</v>
      </c>
      <c r="C35">
        <f t="shared" ca="1" si="6"/>
        <v>-4</v>
      </c>
      <c r="G35">
        <v>28</v>
      </c>
      <c r="H35">
        <f t="shared" ca="1" si="7"/>
        <v>5</v>
      </c>
      <c r="I35">
        <f t="shared" ca="1" si="1"/>
        <v>2</v>
      </c>
      <c r="J35">
        <f t="shared" ca="1" si="2"/>
        <v>2</v>
      </c>
      <c r="K35">
        <f t="shared" ca="1" si="3"/>
        <v>1</v>
      </c>
      <c r="L35">
        <f t="shared" ca="1" si="8"/>
        <v>6</v>
      </c>
      <c r="N35">
        <v>28</v>
      </c>
      <c r="O35" s="91" t="s">
        <v>39</v>
      </c>
      <c r="P35">
        <f t="shared" ca="1" si="9"/>
        <v>-7</v>
      </c>
      <c r="Q35">
        <f t="shared" ca="1" si="4"/>
        <v>2</v>
      </c>
      <c r="R35">
        <f t="shared" ca="1" si="10"/>
        <v>2</v>
      </c>
      <c r="S35">
        <f t="shared" ca="1" si="11"/>
        <v>1</v>
      </c>
      <c r="T35">
        <f t="shared" ca="1" si="5"/>
        <v>1</v>
      </c>
      <c r="U35">
        <f t="shared" ca="1" si="12"/>
        <v>-6</v>
      </c>
    </row>
    <row r="36" spans="1:21" x14ac:dyDescent="0.3">
      <c r="A36">
        <v>29</v>
      </c>
      <c r="B36">
        <f t="shared" ca="1" si="0"/>
        <v>1</v>
      </c>
      <c r="C36">
        <f t="shared" ca="1" si="6"/>
        <v>-3</v>
      </c>
      <c r="G36">
        <v>29</v>
      </c>
      <c r="H36">
        <f t="shared" ca="1" si="7"/>
        <v>6</v>
      </c>
      <c r="I36">
        <f t="shared" ca="1" si="1"/>
        <v>0</v>
      </c>
      <c r="J36">
        <f t="shared" ca="1" si="2"/>
        <v>1</v>
      </c>
      <c r="K36">
        <f t="shared" ca="1" si="3"/>
        <v>0</v>
      </c>
      <c r="L36">
        <f t="shared" ca="1" si="8"/>
        <v>5</v>
      </c>
      <c r="N36">
        <v>29</v>
      </c>
      <c r="O36" s="91" t="s">
        <v>39</v>
      </c>
      <c r="P36">
        <f t="shared" ca="1" si="9"/>
        <v>-6</v>
      </c>
      <c r="Q36">
        <f t="shared" ca="1" si="4"/>
        <v>0</v>
      </c>
      <c r="R36">
        <f t="shared" ca="1" si="10"/>
        <v>1</v>
      </c>
      <c r="S36">
        <f t="shared" ca="1" si="11"/>
        <v>1</v>
      </c>
      <c r="T36">
        <f t="shared" ca="1" si="5"/>
        <v>1</v>
      </c>
      <c r="U36">
        <f t="shared" ca="1" si="12"/>
        <v>-5</v>
      </c>
    </row>
    <row r="37" spans="1:21" x14ac:dyDescent="0.3">
      <c r="A37">
        <v>30</v>
      </c>
      <c r="B37">
        <f t="shared" ca="1" si="0"/>
        <v>0</v>
      </c>
      <c r="C37">
        <f t="shared" ca="1" si="6"/>
        <v>-4</v>
      </c>
      <c r="G37">
        <v>30</v>
      </c>
      <c r="H37">
        <f t="shared" ca="1" si="7"/>
        <v>5</v>
      </c>
      <c r="I37">
        <f t="shared" ca="1" si="1"/>
        <v>2</v>
      </c>
      <c r="J37">
        <f t="shared" ca="1" si="2"/>
        <v>2</v>
      </c>
      <c r="K37">
        <f t="shared" ca="1" si="3"/>
        <v>1</v>
      </c>
      <c r="L37">
        <f t="shared" ca="1" si="8"/>
        <v>6</v>
      </c>
      <c r="N37">
        <v>30</v>
      </c>
      <c r="O37" s="91" t="s">
        <v>38</v>
      </c>
      <c r="P37">
        <f t="shared" ca="1" si="9"/>
        <v>-5</v>
      </c>
      <c r="Q37">
        <f t="shared" ca="1" si="4"/>
        <v>1</v>
      </c>
      <c r="R37">
        <f t="shared" ca="1" si="10"/>
        <v>2</v>
      </c>
      <c r="S37">
        <f t="shared" ca="1" si="11"/>
        <v>1</v>
      </c>
      <c r="T37">
        <f t="shared" ca="1" si="5"/>
        <v>0</v>
      </c>
      <c r="U37">
        <f t="shared" ca="1" si="12"/>
        <v>-6</v>
      </c>
    </row>
    <row r="38" spans="1:21" x14ac:dyDescent="0.3">
      <c r="A38">
        <v>31</v>
      </c>
      <c r="B38">
        <f t="shared" ca="1" si="0"/>
        <v>0</v>
      </c>
      <c r="C38">
        <f t="shared" ca="1" si="6"/>
        <v>-5</v>
      </c>
      <c r="G38">
        <v>31</v>
      </c>
      <c r="H38">
        <f t="shared" ca="1" si="7"/>
        <v>6</v>
      </c>
      <c r="I38">
        <f t="shared" ca="1" si="1"/>
        <v>0</v>
      </c>
      <c r="J38">
        <f t="shared" ca="1" si="2"/>
        <v>1</v>
      </c>
      <c r="K38">
        <f t="shared" ca="1" si="3"/>
        <v>1</v>
      </c>
      <c r="L38">
        <f t="shared" ca="1" si="8"/>
        <v>7</v>
      </c>
      <c r="N38">
        <v>31</v>
      </c>
      <c r="O38" s="91" t="s">
        <v>39</v>
      </c>
      <c r="P38">
        <f t="shared" ca="1" si="9"/>
        <v>-6</v>
      </c>
      <c r="Q38">
        <f t="shared" ca="1" si="4"/>
        <v>0</v>
      </c>
      <c r="R38">
        <f t="shared" ca="1" si="10"/>
        <v>1</v>
      </c>
      <c r="S38">
        <f t="shared" ca="1" si="11"/>
        <v>0</v>
      </c>
      <c r="T38">
        <f t="shared" ca="1" si="5"/>
        <v>0</v>
      </c>
      <c r="U38">
        <f t="shared" ca="1" si="12"/>
        <v>-7</v>
      </c>
    </row>
    <row r="39" spans="1:21" x14ac:dyDescent="0.3">
      <c r="A39">
        <v>32</v>
      </c>
      <c r="B39">
        <f t="shared" ca="1" si="0"/>
        <v>0</v>
      </c>
      <c r="C39">
        <f t="shared" ca="1" si="6"/>
        <v>-6</v>
      </c>
      <c r="G39">
        <v>32</v>
      </c>
      <c r="H39">
        <f t="shared" ca="1" si="7"/>
        <v>7</v>
      </c>
      <c r="I39">
        <f t="shared" ca="1" si="1"/>
        <v>1</v>
      </c>
      <c r="J39">
        <f t="shared" ca="1" si="2"/>
        <v>2</v>
      </c>
      <c r="K39">
        <f t="shared" ca="1" si="3"/>
        <v>0</v>
      </c>
      <c r="L39">
        <f t="shared" ca="1" si="8"/>
        <v>6</v>
      </c>
      <c r="N39">
        <v>32</v>
      </c>
      <c r="O39" s="91" t="s">
        <v>39</v>
      </c>
      <c r="P39">
        <f t="shared" ca="1" si="9"/>
        <v>-7</v>
      </c>
      <c r="Q39">
        <f t="shared" ca="1" si="4"/>
        <v>2</v>
      </c>
      <c r="R39">
        <f t="shared" ca="1" si="10"/>
        <v>2</v>
      </c>
      <c r="S39">
        <f t="shared" ca="1" si="11"/>
        <v>1</v>
      </c>
      <c r="T39">
        <f t="shared" ca="1" si="5"/>
        <v>1</v>
      </c>
      <c r="U39">
        <f t="shared" ca="1" si="12"/>
        <v>-6</v>
      </c>
    </row>
    <row r="40" spans="1:21" x14ac:dyDescent="0.3">
      <c r="A40">
        <v>33</v>
      </c>
      <c r="B40">
        <f t="shared" ca="1" si="0"/>
        <v>0</v>
      </c>
      <c r="C40">
        <f t="shared" ca="1" si="6"/>
        <v>-7</v>
      </c>
      <c r="G40">
        <v>33</v>
      </c>
      <c r="H40">
        <f t="shared" ca="1" si="7"/>
        <v>6</v>
      </c>
      <c r="I40">
        <f t="shared" ca="1" si="1"/>
        <v>0</v>
      </c>
      <c r="J40">
        <f t="shared" ca="1" si="2"/>
        <v>1</v>
      </c>
      <c r="K40">
        <f t="shared" ca="1" si="3"/>
        <v>0</v>
      </c>
      <c r="L40">
        <f t="shared" ca="1" si="8"/>
        <v>5</v>
      </c>
      <c r="N40">
        <v>33</v>
      </c>
      <c r="O40" s="91" t="s">
        <v>38</v>
      </c>
      <c r="P40">
        <f t="shared" ca="1" si="9"/>
        <v>-6</v>
      </c>
      <c r="Q40">
        <f t="shared" ca="1" si="4"/>
        <v>0</v>
      </c>
      <c r="R40">
        <f t="shared" ca="1" si="10"/>
        <v>1</v>
      </c>
      <c r="S40">
        <f t="shared" ca="1" si="11"/>
        <v>0</v>
      </c>
      <c r="T40">
        <f t="shared" ca="1" si="5"/>
        <v>0</v>
      </c>
      <c r="U40">
        <f t="shared" ca="1" si="12"/>
        <v>-7</v>
      </c>
    </row>
    <row r="41" spans="1:21" x14ac:dyDescent="0.3">
      <c r="A41">
        <v>34</v>
      </c>
      <c r="B41">
        <f t="shared" ca="1" si="0"/>
        <v>0</v>
      </c>
      <c r="C41">
        <f t="shared" ca="1" si="6"/>
        <v>-8</v>
      </c>
      <c r="G41">
        <v>34</v>
      </c>
      <c r="H41">
        <f t="shared" ca="1" si="7"/>
        <v>5</v>
      </c>
      <c r="I41">
        <f t="shared" ca="1" si="1"/>
        <v>2</v>
      </c>
      <c r="J41">
        <f t="shared" ca="1" si="2"/>
        <v>2</v>
      </c>
      <c r="K41">
        <f t="shared" ca="1" si="3"/>
        <v>0</v>
      </c>
      <c r="L41">
        <f t="shared" ca="1" si="8"/>
        <v>4</v>
      </c>
      <c r="N41">
        <v>34</v>
      </c>
      <c r="O41" s="91" t="s">
        <v>39</v>
      </c>
      <c r="P41">
        <f t="shared" ca="1" si="9"/>
        <v>-7</v>
      </c>
      <c r="Q41">
        <f t="shared" ca="1" si="4"/>
        <v>2</v>
      </c>
      <c r="R41">
        <f t="shared" ca="1" si="10"/>
        <v>2</v>
      </c>
      <c r="S41">
        <f t="shared" ca="1" si="11"/>
        <v>1</v>
      </c>
      <c r="T41">
        <f t="shared" ca="1" si="5"/>
        <v>1</v>
      </c>
      <c r="U41">
        <f t="shared" ca="1" si="12"/>
        <v>-6</v>
      </c>
    </row>
    <row r="42" spans="1:21" x14ac:dyDescent="0.3">
      <c r="A42">
        <v>35</v>
      </c>
      <c r="B42">
        <f t="shared" ca="1" si="0"/>
        <v>1</v>
      </c>
      <c r="C42">
        <f t="shared" ca="1" si="6"/>
        <v>-7</v>
      </c>
      <c r="G42">
        <v>35</v>
      </c>
      <c r="H42">
        <f t="shared" ca="1" si="7"/>
        <v>4</v>
      </c>
      <c r="I42">
        <f t="shared" ca="1" si="1"/>
        <v>1</v>
      </c>
      <c r="J42">
        <f t="shared" ca="1" si="2"/>
        <v>2</v>
      </c>
      <c r="K42">
        <f t="shared" ca="1" si="3"/>
        <v>1</v>
      </c>
      <c r="L42">
        <f t="shared" ca="1" si="8"/>
        <v>5</v>
      </c>
      <c r="N42">
        <v>35</v>
      </c>
      <c r="O42" s="91" t="s">
        <v>39</v>
      </c>
      <c r="P42">
        <f t="shared" ca="1" si="9"/>
        <v>-6</v>
      </c>
      <c r="Q42">
        <f t="shared" ca="1" si="4"/>
        <v>0</v>
      </c>
      <c r="R42">
        <f t="shared" ca="1" si="10"/>
        <v>1</v>
      </c>
      <c r="S42">
        <f t="shared" ca="1" si="11"/>
        <v>0</v>
      </c>
      <c r="T42">
        <f t="shared" ca="1" si="5"/>
        <v>0</v>
      </c>
      <c r="U42">
        <f t="shared" ca="1" si="12"/>
        <v>-7</v>
      </c>
    </row>
    <row r="43" spans="1:21" x14ac:dyDescent="0.3">
      <c r="A43">
        <v>36</v>
      </c>
      <c r="B43">
        <f t="shared" ca="1" si="0"/>
        <v>0</v>
      </c>
      <c r="C43">
        <f t="shared" ca="1" si="6"/>
        <v>-8</v>
      </c>
      <c r="G43">
        <v>36</v>
      </c>
      <c r="H43">
        <f t="shared" ca="1" si="7"/>
        <v>5</v>
      </c>
      <c r="I43">
        <f t="shared" ca="1" si="1"/>
        <v>2</v>
      </c>
      <c r="J43">
        <f t="shared" ca="1" si="2"/>
        <v>2</v>
      </c>
      <c r="K43">
        <f t="shared" ca="1" si="3"/>
        <v>0</v>
      </c>
      <c r="L43">
        <f t="shared" ca="1" si="8"/>
        <v>4</v>
      </c>
      <c r="N43">
        <v>36</v>
      </c>
      <c r="O43" s="91" t="s">
        <v>38</v>
      </c>
      <c r="P43">
        <f t="shared" ca="1" si="9"/>
        <v>-7</v>
      </c>
      <c r="Q43">
        <f t="shared" ca="1" si="4"/>
        <v>2</v>
      </c>
      <c r="R43">
        <f t="shared" ca="1" si="10"/>
        <v>2</v>
      </c>
      <c r="S43">
        <f t="shared" ca="1" si="11"/>
        <v>1</v>
      </c>
      <c r="T43">
        <f t="shared" ca="1" si="5"/>
        <v>0</v>
      </c>
      <c r="U43">
        <f t="shared" ca="1" si="12"/>
        <v>-8</v>
      </c>
    </row>
    <row r="44" spans="1:21" x14ac:dyDescent="0.3">
      <c r="A44">
        <v>37</v>
      </c>
      <c r="B44">
        <f t="shared" ca="1" si="0"/>
        <v>0</v>
      </c>
      <c r="C44">
        <f t="shared" ca="1" si="6"/>
        <v>-9</v>
      </c>
      <c r="G44">
        <v>37</v>
      </c>
      <c r="H44">
        <f t="shared" ca="1" si="7"/>
        <v>4</v>
      </c>
      <c r="I44">
        <f t="shared" ca="1" si="1"/>
        <v>1</v>
      </c>
      <c r="J44">
        <f t="shared" ca="1" si="2"/>
        <v>2</v>
      </c>
      <c r="K44">
        <f t="shared" ca="1" si="3"/>
        <v>1</v>
      </c>
      <c r="L44">
        <f t="shared" ca="1" si="8"/>
        <v>5</v>
      </c>
      <c r="N44">
        <v>37</v>
      </c>
      <c r="O44" s="91" t="s">
        <v>39</v>
      </c>
      <c r="P44">
        <f t="shared" ca="1" si="9"/>
        <v>-8</v>
      </c>
      <c r="Q44">
        <f t="shared" ca="1" si="4"/>
        <v>1</v>
      </c>
      <c r="R44">
        <f t="shared" ca="1" si="10"/>
        <v>2</v>
      </c>
      <c r="S44">
        <f t="shared" ca="1" si="11"/>
        <v>1</v>
      </c>
      <c r="T44">
        <f t="shared" ca="1" si="5"/>
        <v>1</v>
      </c>
      <c r="U44">
        <f t="shared" ca="1" si="12"/>
        <v>-7</v>
      </c>
    </row>
    <row r="45" spans="1:21" x14ac:dyDescent="0.3">
      <c r="A45">
        <v>38</v>
      </c>
      <c r="B45">
        <f t="shared" ca="1" si="0"/>
        <v>1</v>
      </c>
      <c r="C45">
        <f t="shared" ca="1" si="6"/>
        <v>-8</v>
      </c>
      <c r="G45">
        <v>38</v>
      </c>
      <c r="H45">
        <f t="shared" ca="1" si="7"/>
        <v>5</v>
      </c>
      <c r="I45">
        <f t="shared" ca="1" si="1"/>
        <v>2</v>
      </c>
      <c r="J45">
        <f t="shared" ca="1" si="2"/>
        <v>2</v>
      </c>
      <c r="K45">
        <f t="shared" ca="1" si="3"/>
        <v>1</v>
      </c>
      <c r="L45">
        <f t="shared" ca="1" si="8"/>
        <v>6</v>
      </c>
      <c r="N45">
        <v>38</v>
      </c>
      <c r="O45" s="91" t="s">
        <v>39</v>
      </c>
      <c r="P45">
        <f t="shared" ca="1" si="9"/>
        <v>-7</v>
      </c>
      <c r="Q45">
        <f t="shared" ca="1" si="4"/>
        <v>2</v>
      </c>
      <c r="R45">
        <f t="shared" ca="1" si="10"/>
        <v>2</v>
      </c>
      <c r="S45">
        <f t="shared" ca="1" si="11"/>
        <v>1</v>
      </c>
      <c r="T45">
        <f t="shared" ca="1" si="5"/>
        <v>1</v>
      </c>
      <c r="U45">
        <f t="shared" ca="1" si="12"/>
        <v>-6</v>
      </c>
    </row>
    <row r="46" spans="1:21" x14ac:dyDescent="0.3">
      <c r="A46">
        <v>39</v>
      </c>
      <c r="B46">
        <f t="shared" ca="1" si="0"/>
        <v>0</v>
      </c>
      <c r="C46">
        <f t="shared" ca="1" si="6"/>
        <v>-9</v>
      </c>
      <c r="G46">
        <v>39</v>
      </c>
      <c r="H46">
        <f t="shared" ca="1" si="7"/>
        <v>6</v>
      </c>
      <c r="I46">
        <f t="shared" ca="1" si="1"/>
        <v>0</v>
      </c>
      <c r="J46">
        <f t="shared" ca="1" si="2"/>
        <v>1</v>
      </c>
      <c r="K46">
        <f t="shared" ca="1" si="3"/>
        <v>1</v>
      </c>
      <c r="L46">
        <f t="shared" ca="1" si="8"/>
        <v>7</v>
      </c>
      <c r="N46">
        <v>39</v>
      </c>
      <c r="O46" s="91" t="s">
        <v>38</v>
      </c>
      <c r="P46">
        <f t="shared" ca="1" si="9"/>
        <v>-6</v>
      </c>
      <c r="Q46">
        <f t="shared" ca="1" si="4"/>
        <v>0</v>
      </c>
      <c r="R46">
        <f t="shared" ca="1" si="10"/>
        <v>1</v>
      </c>
      <c r="S46">
        <f t="shared" ca="1" si="11"/>
        <v>0</v>
      </c>
      <c r="T46">
        <f t="shared" ca="1" si="5"/>
        <v>0</v>
      </c>
      <c r="U46">
        <f t="shared" ca="1" si="12"/>
        <v>-7</v>
      </c>
    </row>
    <row r="47" spans="1:21" x14ac:dyDescent="0.3">
      <c r="A47">
        <v>40</v>
      </c>
      <c r="B47">
        <f t="shared" ca="1" si="0"/>
        <v>1</v>
      </c>
      <c r="C47">
        <f t="shared" ca="1" si="6"/>
        <v>-8</v>
      </c>
      <c r="G47">
        <v>40</v>
      </c>
      <c r="H47">
        <f t="shared" ca="1" si="7"/>
        <v>7</v>
      </c>
      <c r="I47">
        <f t="shared" ca="1" si="1"/>
        <v>1</v>
      </c>
      <c r="J47">
        <f t="shared" ca="1" si="2"/>
        <v>2</v>
      </c>
      <c r="K47">
        <f t="shared" ca="1" si="3"/>
        <v>1</v>
      </c>
      <c r="L47">
        <f t="shared" ca="1" si="8"/>
        <v>8</v>
      </c>
      <c r="N47">
        <v>40</v>
      </c>
      <c r="O47" s="91" t="s">
        <v>39</v>
      </c>
      <c r="P47">
        <f t="shared" ca="1" si="9"/>
        <v>-7</v>
      </c>
      <c r="Q47">
        <f t="shared" ca="1" si="4"/>
        <v>2</v>
      </c>
      <c r="R47">
        <f t="shared" ca="1" si="10"/>
        <v>2</v>
      </c>
      <c r="S47">
        <f t="shared" ca="1" si="11"/>
        <v>1</v>
      </c>
      <c r="T47">
        <f t="shared" ca="1" si="5"/>
        <v>1</v>
      </c>
      <c r="U47">
        <f t="shared" ca="1" si="12"/>
        <v>-6</v>
      </c>
    </row>
    <row r="48" spans="1:21" x14ac:dyDescent="0.3">
      <c r="A48">
        <v>41</v>
      </c>
      <c r="B48">
        <f t="shared" ca="1" si="0"/>
        <v>1</v>
      </c>
      <c r="C48">
        <f t="shared" ca="1" si="6"/>
        <v>-7</v>
      </c>
      <c r="G48">
        <v>41</v>
      </c>
      <c r="H48">
        <f t="shared" ca="1" si="7"/>
        <v>8</v>
      </c>
      <c r="I48">
        <f t="shared" ca="1" si="1"/>
        <v>2</v>
      </c>
      <c r="J48">
        <f t="shared" ca="1" si="2"/>
        <v>2</v>
      </c>
      <c r="K48">
        <f t="shared" ca="1" si="3"/>
        <v>1</v>
      </c>
      <c r="L48">
        <f t="shared" ca="1" si="8"/>
        <v>9</v>
      </c>
      <c r="N48">
        <v>41</v>
      </c>
      <c r="O48" s="91" t="s">
        <v>39</v>
      </c>
      <c r="P48">
        <f t="shared" ca="1" si="9"/>
        <v>-6</v>
      </c>
      <c r="Q48">
        <f t="shared" ca="1" si="4"/>
        <v>0</v>
      </c>
      <c r="R48">
        <f t="shared" ca="1" si="10"/>
        <v>1</v>
      </c>
      <c r="S48">
        <f t="shared" ca="1" si="11"/>
        <v>0</v>
      </c>
      <c r="T48">
        <f t="shared" ca="1" si="5"/>
        <v>0</v>
      </c>
      <c r="U48">
        <f t="shared" ca="1" si="12"/>
        <v>-7</v>
      </c>
    </row>
    <row r="49" spans="1:21" x14ac:dyDescent="0.3">
      <c r="A49">
        <v>42</v>
      </c>
      <c r="B49">
        <f t="shared" ca="1" si="0"/>
        <v>0</v>
      </c>
      <c r="C49">
        <f t="shared" ca="1" si="6"/>
        <v>-8</v>
      </c>
      <c r="G49">
        <v>42</v>
      </c>
      <c r="H49">
        <f t="shared" ca="1" si="7"/>
        <v>9</v>
      </c>
      <c r="I49">
        <f t="shared" ca="1" si="1"/>
        <v>0</v>
      </c>
      <c r="J49">
        <f t="shared" ca="1" si="2"/>
        <v>1</v>
      </c>
      <c r="K49">
        <f t="shared" ca="1" si="3"/>
        <v>0</v>
      </c>
      <c r="L49">
        <f t="shared" ca="1" si="8"/>
        <v>8</v>
      </c>
      <c r="N49">
        <v>42</v>
      </c>
      <c r="O49" s="91" t="s">
        <v>38</v>
      </c>
      <c r="P49">
        <f t="shared" ca="1" si="9"/>
        <v>-7</v>
      </c>
      <c r="Q49">
        <f t="shared" ca="1" si="4"/>
        <v>2</v>
      </c>
      <c r="R49">
        <f t="shared" ca="1" si="10"/>
        <v>2</v>
      </c>
      <c r="S49">
        <f t="shared" ca="1" si="11"/>
        <v>1</v>
      </c>
      <c r="T49">
        <f t="shared" ca="1" si="5"/>
        <v>0</v>
      </c>
      <c r="U49">
        <f t="shared" ca="1" si="12"/>
        <v>-8</v>
      </c>
    </row>
    <row r="50" spans="1:21" x14ac:dyDescent="0.3">
      <c r="A50">
        <v>43</v>
      </c>
      <c r="B50">
        <f t="shared" ca="1" si="0"/>
        <v>1</v>
      </c>
      <c r="C50">
        <f t="shared" ca="1" si="6"/>
        <v>-7</v>
      </c>
      <c r="G50">
        <v>43</v>
      </c>
      <c r="H50">
        <f t="shared" ca="1" si="7"/>
        <v>8</v>
      </c>
      <c r="I50">
        <f t="shared" ca="1" si="1"/>
        <v>2</v>
      </c>
      <c r="J50">
        <f t="shared" ca="1" si="2"/>
        <v>2</v>
      </c>
      <c r="K50">
        <f t="shared" ca="1" si="3"/>
        <v>1</v>
      </c>
      <c r="L50">
        <f t="shared" ca="1" si="8"/>
        <v>9</v>
      </c>
      <c r="N50">
        <v>43</v>
      </c>
      <c r="O50" s="91" t="s">
        <v>39</v>
      </c>
      <c r="P50">
        <f t="shared" ca="1" si="9"/>
        <v>-8</v>
      </c>
      <c r="Q50">
        <f t="shared" ca="1" si="4"/>
        <v>1</v>
      </c>
      <c r="R50">
        <f t="shared" ca="1" si="10"/>
        <v>2</v>
      </c>
      <c r="S50">
        <f t="shared" ca="1" si="11"/>
        <v>1</v>
      </c>
      <c r="T50">
        <f t="shared" ca="1" si="5"/>
        <v>1</v>
      </c>
      <c r="U50">
        <f t="shared" ca="1" si="12"/>
        <v>-7</v>
      </c>
    </row>
    <row r="51" spans="1:21" x14ac:dyDescent="0.3">
      <c r="A51">
        <v>44</v>
      </c>
      <c r="B51">
        <f t="shared" ca="1" si="0"/>
        <v>1</v>
      </c>
      <c r="C51">
        <f t="shared" ca="1" si="6"/>
        <v>-6</v>
      </c>
      <c r="G51">
        <v>44</v>
      </c>
      <c r="H51">
        <f t="shared" ca="1" si="7"/>
        <v>9</v>
      </c>
      <c r="I51">
        <f t="shared" ca="1" si="1"/>
        <v>0</v>
      </c>
      <c r="J51">
        <f t="shared" ca="1" si="2"/>
        <v>1</v>
      </c>
      <c r="K51">
        <f t="shared" ca="1" si="3"/>
        <v>0</v>
      </c>
      <c r="L51">
        <f t="shared" ca="1" si="8"/>
        <v>8</v>
      </c>
      <c r="N51">
        <v>44</v>
      </c>
      <c r="O51" s="91" t="s">
        <v>39</v>
      </c>
      <c r="P51">
        <f t="shared" ca="1" si="9"/>
        <v>-7</v>
      </c>
      <c r="Q51">
        <f t="shared" ca="1" si="4"/>
        <v>2</v>
      </c>
      <c r="R51">
        <f t="shared" ca="1" si="10"/>
        <v>2</v>
      </c>
      <c r="S51">
        <f t="shared" ca="1" si="11"/>
        <v>1</v>
      </c>
      <c r="T51">
        <f t="shared" ca="1" si="5"/>
        <v>1</v>
      </c>
      <c r="U51">
        <f t="shared" ca="1" si="12"/>
        <v>-6</v>
      </c>
    </row>
    <row r="52" spans="1:21" x14ac:dyDescent="0.3">
      <c r="A52">
        <v>45</v>
      </c>
      <c r="B52">
        <f t="shared" ca="1" si="0"/>
        <v>1</v>
      </c>
      <c r="C52">
        <f t="shared" ca="1" si="6"/>
        <v>-5</v>
      </c>
      <c r="G52">
        <v>45</v>
      </c>
      <c r="H52">
        <f t="shared" ca="1" si="7"/>
        <v>8</v>
      </c>
      <c r="I52">
        <f t="shared" ca="1" si="1"/>
        <v>2</v>
      </c>
      <c r="J52">
        <f t="shared" ca="1" si="2"/>
        <v>2</v>
      </c>
      <c r="K52">
        <f t="shared" ca="1" si="3"/>
        <v>1</v>
      </c>
      <c r="L52">
        <f t="shared" ca="1" si="8"/>
        <v>9</v>
      </c>
      <c r="N52">
        <v>45</v>
      </c>
      <c r="O52" s="91" t="s">
        <v>38</v>
      </c>
      <c r="P52">
        <f t="shared" ca="1" si="9"/>
        <v>-6</v>
      </c>
      <c r="Q52">
        <f t="shared" ca="1" si="4"/>
        <v>0</v>
      </c>
      <c r="R52">
        <f t="shared" ca="1" si="10"/>
        <v>1</v>
      </c>
      <c r="S52">
        <f t="shared" ca="1" si="11"/>
        <v>0</v>
      </c>
      <c r="T52">
        <f t="shared" ca="1" si="5"/>
        <v>1</v>
      </c>
      <c r="U52">
        <f t="shared" ca="1" si="12"/>
        <v>-5</v>
      </c>
    </row>
    <row r="53" spans="1:21" x14ac:dyDescent="0.3">
      <c r="A53">
        <v>46</v>
      </c>
      <c r="B53">
        <f t="shared" ca="1" si="0"/>
        <v>0</v>
      </c>
      <c r="C53">
        <f t="shared" ca="1" si="6"/>
        <v>-6</v>
      </c>
      <c r="G53">
        <v>46</v>
      </c>
      <c r="H53">
        <f t="shared" ca="1" si="7"/>
        <v>9</v>
      </c>
      <c r="I53">
        <f t="shared" ca="1" si="1"/>
        <v>0</v>
      </c>
      <c r="J53">
        <f t="shared" ca="1" si="2"/>
        <v>1</v>
      </c>
      <c r="K53">
        <f t="shared" ca="1" si="3"/>
        <v>0</v>
      </c>
      <c r="L53">
        <f t="shared" ca="1" si="8"/>
        <v>8</v>
      </c>
      <c r="N53">
        <v>46</v>
      </c>
      <c r="O53" s="91" t="s">
        <v>39</v>
      </c>
      <c r="P53">
        <f t="shared" ca="1" si="9"/>
        <v>-5</v>
      </c>
      <c r="Q53">
        <f t="shared" ca="1" si="4"/>
        <v>1</v>
      </c>
      <c r="R53">
        <f t="shared" ca="1" si="10"/>
        <v>2</v>
      </c>
      <c r="S53">
        <f t="shared" ca="1" si="11"/>
        <v>0</v>
      </c>
      <c r="T53">
        <f t="shared" ca="1" si="5"/>
        <v>0</v>
      </c>
      <c r="U53">
        <f t="shared" ca="1" si="12"/>
        <v>-6</v>
      </c>
    </row>
    <row r="54" spans="1:21" x14ac:dyDescent="0.3">
      <c r="A54">
        <v>47</v>
      </c>
      <c r="B54">
        <f t="shared" ca="1" si="0"/>
        <v>1</v>
      </c>
      <c r="C54">
        <f t="shared" ca="1" si="6"/>
        <v>-5</v>
      </c>
      <c r="G54">
        <v>47</v>
      </c>
      <c r="H54">
        <f t="shared" ca="1" si="7"/>
        <v>8</v>
      </c>
      <c r="I54">
        <f t="shared" ca="1" si="1"/>
        <v>2</v>
      </c>
      <c r="J54">
        <f t="shared" ca="1" si="2"/>
        <v>2</v>
      </c>
      <c r="K54">
        <f t="shared" ca="1" si="3"/>
        <v>1</v>
      </c>
      <c r="L54">
        <f t="shared" ca="1" si="8"/>
        <v>9</v>
      </c>
      <c r="N54">
        <v>47</v>
      </c>
      <c r="O54" s="91" t="s">
        <v>39</v>
      </c>
      <c r="P54">
        <f t="shared" ca="1" si="9"/>
        <v>-6</v>
      </c>
      <c r="Q54">
        <f t="shared" ca="1" si="4"/>
        <v>0</v>
      </c>
      <c r="R54">
        <f t="shared" ca="1" si="10"/>
        <v>1</v>
      </c>
      <c r="S54">
        <f t="shared" ca="1" si="11"/>
        <v>0</v>
      </c>
      <c r="T54">
        <f t="shared" ca="1" si="5"/>
        <v>0</v>
      </c>
      <c r="U54">
        <f t="shared" ca="1" si="12"/>
        <v>-7</v>
      </c>
    </row>
    <row r="55" spans="1:21" x14ac:dyDescent="0.3">
      <c r="A55">
        <v>48</v>
      </c>
      <c r="B55">
        <f t="shared" ca="1" si="0"/>
        <v>1</v>
      </c>
      <c r="C55">
        <f t="shared" ca="1" si="6"/>
        <v>-4</v>
      </c>
      <c r="G55">
        <v>48</v>
      </c>
      <c r="H55">
        <f t="shared" ca="1" si="7"/>
        <v>9</v>
      </c>
      <c r="I55">
        <f t="shared" ca="1" si="1"/>
        <v>0</v>
      </c>
      <c r="J55">
        <f t="shared" ca="1" si="2"/>
        <v>1</v>
      </c>
      <c r="K55">
        <f t="shared" ca="1" si="3"/>
        <v>0</v>
      </c>
      <c r="L55">
        <f t="shared" ca="1" si="8"/>
        <v>8</v>
      </c>
      <c r="N55">
        <v>48</v>
      </c>
      <c r="O55" s="91" t="s">
        <v>38</v>
      </c>
      <c r="P55">
        <f t="shared" ca="1" si="9"/>
        <v>-7</v>
      </c>
      <c r="Q55">
        <f t="shared" ca="1" si="4"/>
        <v>2</v>
      </c>
      <c r="R55">
        <f t="shared" ca="1" si="10"/>
        <v>2</v>
      </c>
      <c r="S55">
        <f t="shared" ca="1" si="11"/>
        <v>0</v>
      </c>
      <c r="T55">
        <f t="shared" ca="1" si="5"/>
        <v>1</v>
      </c>
      <c r="U55">
        <f t="shared" ca="1" si="12"/>
        <v>-6</v>
      </c>
    </row>
    <row r="56" spans="1:21" x14ac:dyDescent="0.3">
      <c r="A56">
        <v>49</v>
      </c>
      <c r="B56">
        <f t="shared" ca="1" si="0"/>
        <v>1</v>
      </c>
      <c r="C56">
        <f t="shared" ca="1" si="6"/>
        <v>-3</v>
      </c>
      <c r="G56">
        <v>49</v>
      </c>
      <c r="H56">
        <f t="shared" ca="1" si="7"/>
        <v>8</v>
      </c>
      <c r="I56">
        <f t="shared" ca="1" si="1"/>
        <v>2</v>
      </c>
      <c r="J56">
        <f t="shared" ca="1" si="2"/>
        <v>2</v>
      </c>
      <c r="K56">
        <f t="shared" ca="1" si="3"/>
        <v>0</v>
      </c>
      <c r="L56">
        <f t="shared" ca="1" si="8"/>
        <v>7</v>
      </c>
      <c r="N56">
        <v>49</v>
      </c>
      <c r="O56" s="91" t="s">
        <v>39</v>
      </c>
      <c r="P56">
        <f t="shared" ca="1" si="9"/>
        <v>-6</v>
      </c>
      <c r="Q56">
        <f t="shared" ca="1" si="4"/>
        <v>0</v>
      </c>
      <c r="R56">
        <f t="shared" ca="1" si="10"/>
        <v>1</v>
      </c>
      <c r="S56">
        <f t="shared" ca="1" si="11"/>
        <v>0</v>
      </c>
      <c r="T56">
        <f t="shared" ca="1" si="5"/>
        <v>0</v>
      </c>
      <c r="U56">
        <f t="shared" ca="1" si="12"/>
        <v>-7</v>
      </c>
    </row>
    <row r="57" spans="1:21" x14ac:dyDescent="0.3">
      <c r="A57">
        <v>50</v>
      </c>
      <c r="B57">
        <f t="shared" ca="1" si="0"/>
        <v>1</v>
      </c>
      <c r="C57">
        <f t="shared" ca="1" si="6"/>
        <v>-2</v>
      </c>
      <c r="G57">
        <v>50</v>
      </c>
      <c r="H57">
        <f t="shared" ca="1" si="7"/>
        <v>7</v>
      </c>
      <c r="I57">
        <f t="shared" ca="1" si="1"/>
        <v>1</v>
      </c>
      <c r="J57">
        <f t="shared" ca="1" si="2"/>
        <v>2</v>
      </c>
      <c r="K57">
        <f t="shared" ca="1" si="3"/>
        <v>1</v>
      </c>
      <c r="L57">
        <f t="shared" ca="1" si="8"/>
        <v>8</v>
      </c>
      <c r="N57">
        <v>50</v>
      </c>
      <c r="O57" s="91" t="s">
        <v>39</v>
      </c>
      <c r="P57">
        <f t="shared" ca="1" si="9"/>
        <v>-7</v>
      </c>
      <c r="Q57">
        <f t="shared" ca="1" si="4"/>
        <v>2</v>
      </c>
      <c r="R57">
        <f t="shared" ca="1" si="10"/>
        <v>2</v>
      </c>
      <c r="S57">
        <f t="shared" ca="1" si="11"/>
        <v>1</v>
      </c>
      <c r="T57">
        <f t="shared" ca="1" si="5"/>
        <v>1</v>
      </c>
      <c r="U57">
        <f t="shared" ca="1" si="12"/>
        <v>-6</v>
      </c>
    </row>
    <row r="58" spans="1:21" x14ac:dyDescent="0.3">
      <c r="A58">
        <v>51</v>
      </c>
      <c r="B58">
        <f t="shared" ca="1" si="0"/>
        <v>1</v>
      </c>
      <c r="C58">
        <f t="shared" ca="1" si="6"/>
        <v>-1</v>
      </c>
      <c r="G58">
        <v>51</v>
      </c>
      <c r="H58">
        <f t="shared" ca="1" si="7"/>
        <v>8</v>
      </c>
      <c r="I58">
        <f t="shared" ca="1" si="1"/>
        <v>2</v>
      </c>
      <c r="J58">
        <f t="shared" ca="1" si="2"/>
        <v>2</v>
      </c>
      <c r="K58">
        <f t="shared" ca="1" si="3"/>
        <v>1</v>
      </c>
      <c r="L58">
        <f t="shared" ca="1" si="8"/>
        <v>9</v>
      </c>
      <c r="N58">
        <v>51</v>
      </c>
      <c r="O58" s="91" t="s">
        <v>38</v>
      </c>
      <c r="P58">
        <f t="shared" ca="1" si="9"/>
        <v>-6</v>
      </c>
      <c r="Q58">
        <f t="shared" ca="1" si="4"/>
        <v>0</v>
      </c>
      <c r="R58">
        <f t="shared" ca="1" si="10"/>
        <v>1</v>
      </c>
      <c r="S58">
        <f t="shared" ca="1" si="11"/>
        <v>0</v>
      </c>
      <c r="T58">
        <f t="shared" ca="1" si="5"/>
        <v>1</v>
      </c>
      <c r="U58">
        <f t="shared" ca="1" si="12"/>
        <v>-5</v>
      </c>
    </row>
    <row r="59" spans="1:21" x14ac:dyDescent="0.3">
      <c r="A59">
        <v>52</v>
      </c>
      <c r="B59">
        <f t="shared" ca="1" si="0"/>
        <v>1</v>
      </c>
      <c r="C59">
        <f t="shared" ca="1" si="6"/>
        <v>0</v>
      </c>
      <c r="G59">
        <v>52</v>
      </c>
      <c r="H59">
        <f t="shared" ca="1" si="7"/>
        <v>9</v>
      </c>
      <c r="I59">
        <f t="shared" ca="1" si="1"/>
        <v>0</v>
      </c>
      <c r="J59">
        <f t="shared" ca="1" si="2"/>
        <v>1</v>
      </c>
      <c r="K59">
        <f t="shared" ca="1" si="3"/>
        <v>0</v>
      </c>
      <c r="L59">
        <f t="shared" ca="1" si="8"/>
        <v>8</v>
      </c>
      <c r="N59">
        <v>52</v>
      </c>
      <c r="O59" s="91" t="s">
        <v>39</v>
      </c>
      <c r="P59">
        <f t="shared" ca="1" si="9"/>
        <v>-5</v>
      </c>
      <c r="Q59">
        <f t="shared" ca="1" si="4"/>
        <v>1</v>
      </c>
      <c r="R59">
        <f t="shared" ca="1" si="10"/>
        <v>2</v>
      </c>
      <c r="S59">
        <f t="shared" ca="1" si="11"/>
        <v>0</v>
      </c>
      <c r="T59">
        <f t="shared" ca="1" si="5"/>
        <v>0</v>
      </c>
      <c r="U59">
        <f t="shared" ca="1" si="12"/>
        <v>-6</v>
      </c>
    </row>
    <row r="60" spans="1:21" x14ac:dyDescent="0.3">
      <c r="A60">
        <v>53</v>
      </c>
      <c r="B60">
        <f t="shared" ca="1" si="0"/>
        <v>1</v>
      </c>
      <c r="C60">
        <f t="shared" ca="1" si="6"/>
        <v>1</v>
      </c>
      <c r="G60">
        <v>53</v>
      </c>
      <c r="H60">
        <f t="shared" ca="1" si="7"/>
        <v>8</v>
      </c>
      <c r="I60">
        <f t="shared" ca="1" si="1"/>
        <v>2</v>
      </c>
      <c r="J60">
        <f t="shared" ca="1" si="2"/>
        <v>2</v>
      </c>
      <c r="K60">
        <f t="shared" ca="1" si="3"/>
        <v>0</v>
      </c>
      <c r="L60">
        <f t="shared" ca="1" si="8"/>
        <v>7</v>
      </c>
      <c r="N60">
        <v>53</v>
      </c>
      <c r="O60" s="91" t="s">
        <v>39</v>
      </c>
      <c r="P60">
        <f t="shared" ca="1" si="9"/>
        <v>-6</v>
      </c>
      <c r="Q60">
        <f t="shared" ca="1" si="4"/>
        <v>0</v>
      </c>
      <c r="R60">
        <f t="shared" ca="1" si="10"/>
        <v>1</v>
      </c>
      <c r="S60">
        <f t="shared" ca="1" si="11"/>
        <v>0</v>
      </c>
      <c r="T60">
        <f t="shared" ca="1" si="5"/>
        <v>0</v>
      </c>
      <c r="U60">
        <f t="shared" ca="1" si="12"/>
        <v>-7</v>
      </c>
    </row>
    <row r="61" spans="1:21" x14ac:dyDescent="0.3">
      <c r="A61">
        <v>54</v>
      </c>
      <c r="B61">
        <f t="shared" ca="1" si="0"/>
        <v>1</v>
      </c>
      <c r="C61">
        <f t="shared" ca="1" si="6"/>
        <v>2</v>
      </c>
      <c r="G61">
        <v>54</v>
      </c>
      <c r="H61">
        <f t="shared" ca="1" si="7"/>
        <v>7</v>
      </c>
      <c r="I61">
        <f t="shared" ca="1" si="1"/>
        <v>1</v>
      </c>
      <c r="J61">
        <f t="shared" ca="1" si="2"/>
        <v>2</v>
      </c>
      <c r="K61">
        <f t="shared" ca="1" si="3"/>
        <v>1</v>
      </c>
      <c r="L61">
        <f t="shared" ca="1" si="8"/>
        <v>8</v>
      </c>
      <c r="N61">
        <v>54</v>
      </c>
      <c r="O61" s="91" t="s">
        <v>38</v>
      </c>
      <c r="P61">
        <f t="shared" ca="1" si="9"/>
        <v>-7</v>
      </c>
      <c r="Q61">
        <f t="shared" ca="1" si="4"/>
        <v>2</v>
      </c>
      <c r="R61">
        <f t="shared" ca="1" si="10"/>
        <v>2</v>
      </c>
      <c r="S61">
        <f t="shared" ca="1" si="11"/>
        <v>1</v>
      </c>
      <c r="T61">
        <f t="shared" ca="1" si="5"/>
        <v>1</v>
      </c>
      <c r="U61">
        <f t="shared" ca="1" si="12"/>
        <v>-6</v>
      </c>
    </row>
    <row r="62" spans="1:21" x14ac:dyDescent="0.3">
      <c r="A62">
        <v>55</v>
      </c>
      <c r="B62">
        <f t="shared" ca="1" si="0"/>
        <v>0</v>
      </c>
      <c r="C62">
        <f t="shared" ca="1" si="6"/>
        <v>1</v>
      </c>
      <c r="G62">
        <v>55</v>
      </c>
      <c r="H62">
        <f t="shared" ca="1" si="7"/>
        <v>8</v>
      </c>
      <c r="I62">
        <f t="shared" ca="1" si="1"/>
        <v>2</v>
      </c>
      <c r="J62">
        <f t="shared" ca="1" si="2"/>
        <v>2</v>
      </c>
      <c r="K62">
        <f t="shared" ca="1" si="3"/>
        <v>1</v>
      </c>
      <c r="L62">
        <f t="shared" ca="1" si="8"/>
        <v>9</v>
      </c>
      <c r="N62">
        <v>55</v>
      </c>
      <c r="O62" s="91" t="s">
        <v>39</v>
      </c>
      <c r="P62">
        <f t="shared" ca="1" si="9"/>
        <v>-6</v>
      </c>
      <c r="Q62">
        <f t="shared" ca="1" si="4"/>
        <v>0</v>
      </c>
      <c r="R62">
        <f t="shared" ca="1" si="10"/>
        <v>1</v>
      </c>
      <c r="S62">
        <f t="shared" ca="1" si="11"/>
        <v>0</v>
      </c>
      <c r="T62">
        <f t="shared" ca="1" si="5"/>
        <v>0</v>
      </c>
      <c r="U62">
        <f t="shared" ca="1" si="12"/>
        <v>-7</v>
      </c>
    </row>
    <row r="63" spans="1:21" x14ac:dyDescent="0.3">
      <c r="A63">
        <v>56</v>
      </c>
      <c r="B63">
        <f t="shared" ca="1" si="0"/>
        <v>1</v>
      </c>
      <c r="C63">
        <f t="shared" ca="1" si="6"/>
        <v>2</v>
      </c>
      <c r="G63">
        <v>56</v>
      </c>
      <c r="H63">
        <f t="shared" ca="1" si="7"/>
        <v>9</v>
      </c>
      <c r="I63">
        <f t="shared" ca="1" si="1"/>
        <v>0</v>
      </c>
      <c r="J63">
        <f t="shared" ca="1" si="2"/>
        <v>1</v>
      </c>
      <c r="K63">
        <f t="shared" ca="1" si="3"/>
        <v>0</v>
      </c>
      <c r="L63">
        <f t="shared" ca="1" si="8"/>
        <v>8</v>
      </c>
      <c r="N63">
        <v>56</v>
      </c>
      <c r="O63" s="91" t="s">
        <v>39</v>
      </c>
      <c r="P63">
        <f t="shared" ca="1" si="9"/>
        <v>-7</v>
      </c>
      <c r="Q63">
        <f t="shared" ca="1" si="4"/>
        <v>2</v>
      </c>
      <c r="R63">
        <f t="shared" ca="1" si="10"/>
        <v>2</v>
      </c>
      <c r="S63">
        <f t="shared" ca="1" si="11"/>
        <v>1</v>
      </c>
      <c r="T63">
        <f t="shared" ca="1" si="5"/>
        <v>1</v>
      </c>
      <c r="U63">
        <f t="shared" ca="1" si="12"/>
        <v>-6</v>
      </c>
    </row>
    <row r="64" spans="1:21" x14ac:dyDescent="0.3">
      <c r="A64">
        <v>57</v>
      </c>
      <c r="B64">
        <f t="shared" ca="1" si="0"/>
        <v>1</v>
      </c>
      <c r="C64">
        <f t="shared" ca="1" si="6"/>
        <v>3</v>
      </c>
      <c r="G64">
        <v>57</v>
      </c>
      <c r="H64">
        <f t="shared" ca="1" si="7"/>
        <v>8</v>
      </c>
      <c r="I64">
        <f t="shared" ca="1" si="1"/>
        <v>2</v>
      </c>
      <c r="J64">
        <f t="shared" ca="1" si="2"/>
        <v>2</v>
      </c>
      <c r="K64">
        <f t="shared" ca="1" si="3"/>
        <v>1</v>
      </c>
      <c r="L64">
        <f t="shared" ca="1" si="8"/>
        <v>9</v>
      </c>
      <c r="N64">
        <v>57</v>
      </c>
      <c r="O64" s="91" t="s">
        <v>38</v>
      </c>
      <c r="P64">
        <f t="shared" ca="1" si="9"/>
        <v>-6</v>
      </c>
      <c r="Q64">
        <f t="shared" ca="1" si="4"/>
        <v>0</v>
      </c>
      <c r="R64">
        <f t="shared" ca="1" si="10"/>
        <v>1</v>
      </c>
      <c r="S64">
        <f t="shared" ca="1" si="11"/>
        <v>0</v>
      </c>
      <c r="T64">
        <f t="shared" ca="1" si="5"/>
        <v>1</v>
      </c>
      <c r="U64">
        <f t="shared" ca="1" si="12"/>
        <v>-5</v>
      </c>
    </row>
    <row r="65" spans="1:21" x14ac:dyDescent="0.3">
      <c r="A65">
        <v>58</v>
      </c>
      <c r="B65">
        <f t="shared" ca="1" si="0"/>
        <v>0</v>
      </c>
      <c r="C65">
        <f t="shared" ca="1" si="6"/>
        <v>2</v>
      </c>
      <c r="G65">
        <v>58</v>
      </c>
      <c r="H65">
        <f t="shared" ca="1" si="7"/>
        <v>9</v>
      </c>
      <c r="I65">
        <f t="shared" ca="1" si="1"/>
        <v>0</v>
      </c>
      <c r="J65">
        <f t="shared" ca="1" si="2"/>
        <v>1</v>
      </c>
      <c r="K65">
        <f t="shared" ca="1" si="3"/>
        <v>0</v>
      </c>
      <c r="L65">
        <f t="shared" ca="1" si="8"/>
        <v>8</v>
      </c>
      <c r="N65">
        <v>58</v>
      </c>
      <c r="O65" s="91" t="s">
        <v>39</v>
      </c>
      <c r="P65">
        <f t="shared" ca="1" si="9"/>
        <v>-5</v>
      </c>
      <c r="Q65">
        <f t="shared" ca="1" si="4"/>
        <v>1</v>
      </c>
      <c r="R65">
        <f t="shared" ca="1" si="10"/>
        <v>2</v>
      </c>
      <c r="S65">
        <f t="shared" ca="1" si="11"/>
        <v>0</v>
      </c>
      <c r="T65">
        <f t="shared" ca="1" si="5"/>
        <v>0</v>
      </c>
      <c r="U65">
        <f t="shared" ca="1" si="12"/>
        <v>-6</v>
      </c>
    </row>
    <row r="66" spans="1:21" x14ac:dyDescent="0.3">
      <c r="A66">
        <v>59</v>
      </c>
      <c r="B66">
        <f t="shared" ca="1" si="0"/>
        <v>1</v>
      </c>
      <c r="C66">
        <f t="shared" ca="1" si="6"/>
        <v>3</v>
      </c>
      <c r="G66">
        <v>59</v>
      </c>
      <c r="H66">
        <f t="shared" ca="1" si="7"/>
        <v>8</v>
      </c>
      <c r="I66">
        <f t="shared" ca="1" si="1"/>
        <v>2</v>
      </c>
      <c r="J66">
        <f t="shared" ca="1" si="2"/>
        <v>2</v>
      </c>
      <c r="K66">
        <f t="shared" ca="1" si="3"/>
        <v>0</v>
      </c>
      <c r="L66">
        <f t="shared" ca="1" si="8"/>
        <v>7</v>
      </c>
      <c r="N66">
        <v>59</v>
      </c>
      <c r="O66" s="91" t="s">
        <v>39</v>
      </c>
      <c r="P66">
        <f t="shared" ca="1" si="9"/>
        <v>-6</v>
      </c>
      <c r="Q66">
        <f t="shared" ca="1" si="4"/>
        <v>0</v>
      </c>
      <c r="R66">
        <f t="shared" ca="1" si="10"/>
        <v>1</v>
      </c>
      <c r="S66">
        <f t="shared" ca="1" si="11"/>
        <v>0</v>
      </c>
      <c r="T66">
        <f t="shared" ca="1" si="5"/>
        <v>0</v>
      </c>
      <c r="U66">
        <f t="shared" ca="1" si="12"/>
        <v>-7</v>
      </c>
    </row>
    <row r="67" spans="1:21" x14ac:dyDescent="0.3">
      <c r="A67">
        <v>60</v>
      </c>
      <c r="B67">
        <f t="shared" ca="1" si="0"/>
        <v>1</v>
      </c>
      <c r="C67">
        <f t="shared" ca="1" si="6"/>
        <v>4</v>
      </c>
      <c r="G67">
        <v>60</v>
      </c>
      <c r="H67">
        <f t="shared" ca="1" si="7"/>
        <v>7</v>
      </c>
      <c r="I67">
        <f t="shared" ca="1" si="1"/>
        <v>1</v>
      </c>
      <c r="J67">
        <f t="shared" ca="1" si="2"/>
        <v>2</v>
      </c>
      <c r="K67">
        <f t="shared" ca="1" si="3"/>
        <v>0</v>
      </c>
      <c r="L67">
        <f t="shared" ca="1" si="8"/>
        <v>6</v>
      </c>
      <c r="N67">
        <v>60</v>
      </c>
      <c r="O67" s="91" t="s">
        <v>38</v>
      </c>
      <c r="P67">
        <f t="shared" ca="1" si="9"/>
        <v>-7</v>
      </c>
      <c r="Q67">
        <f t="shared" ca="1" si="4"/>
        <v>2</v>
      </c>
      <c r="R67">
        <f t="shared" ca="1" si="10"/>
        <v>2</v>
      </c>
      <c r="S67">
        <f t="shared" ca="1" si="11"/>
        <v>1</v>
      </c>
      <c r="T67">
        <f t="shared" ca="1" si="5"/>
        <v>1</v>
      </c>
      <c r="U67">
        <f t="shared" ca="1" si="12"/>
        <v>-6</v>
      </c>
    </row>
    <row r="68" spans="1:21" x14ac:dyDescent="0.3">
      <c r="A68">
        <v>61</v>
      </c>
      <c r="B68">
        <f t="shared" ca="1" si="0"/>
        <v>1</v>
      </c>
      <c r="C68">
        <f t="shared" ca="1" si="6"/>
        <v>5</v>
      </c>
      <c r="G68">
        <v>61</v>
      </c>
      <c r="H68">
        <f t="shared" ca="1" si="7"/>
        <v>6</v>
      </c>
      <c r="I68">
        <f t="shared" ca="1" si="1"/>
        <v>0</v>
      </c>
      <c r="J68">
        <f t="shared" ca="1" si="2"/>
        <v>1</v>
      </c>
      <c r="K68">
        <f t="shared" ca="1" si="3"/>
        <v>0</v>
      </c>
      <c r="L68">
        <f t="shared" ca="1" si="8"/>
        <v>5</v>
      </c>
      <c r="N68">
        <v>61</v>
      </c>
      <c r="O68" s="91" t="s">
        <v>39</v>
      </c>
      <c r="P68">
        <f t="shared" ca="1" si="9"/>
        <v>-6</v>
      </c>
      <c r="Q68">
        <f t="shared" ca="1" si="4"/>
        <v>0</v>
      </c>
      <c r="R68">
        <f t="shared" ca="1" si="10"/>
        <v>1</v>
      </c>
      <c r="S68">
        <f t="shared" ca="1" si="11"/>
        <v>0</v>
      </c>
      <c r="T68">
        <f t="shared" ca="1" si="5"/>
        <v>0</v>
      </c>
      <c r="U68">
        <f t="shared" ca="1" si="12"/>
        <v>-7</v>
      </c>
    </row>
    <row r="69" spans="1:21" x14ac:dyDescent="0.3">
      <c r="A69">
        <v>62</v>
      </c>
      <c r="B69">
        <f t="shared" ca="1" si="0"/>
        <v>1</v>
      </c>
      <c r="C69">
        <f t="shared" ca="1" si="6"/>
        <v>6</v>
      </c>
      <c r="G69">
        <v>62</v>
      </c>
      <c r="H69">
        <f t="shared" ca="1" si="7"/>
        <v>5</v>
      </c>
      <c r="I69">
        <f t="shared" ca="1" si="1"/>
        <v>2</v>
      </c>
      <c r="J69">
        <f t="shared" ca="1" si="2"/>
        <v>2</v>
      </c>
      <c r="K69">
        <f t="shared" ca="1" si="3"/>
        <v>1</v>
      </c>
      <c r="L69">
        <f t="shared" ca="1" si="8"/>
        <v>6</v>
      </c>
      <c r="N69">
        <v>62</v>
      </c>
      <c r="O69" s="91" t="s">
        <v>39</v>
      </c>
      <c r="P69">
        <f t="shared" ca="1" si="9"/>
        <v>-7</v>
      </c>
      <c r="Q69">
        <f t="shared" ca="1" si="4"/>
        <v>2</v>
      </c>
      <c r="R69">
        <f t="shared" ca="1" si="10"/>
        <v>2</v>
      </c>
      <c r="S69">
        <f t="shared" ca="1" si="11"/>
        <v>1</v>
      </c>
      <c r="T69">
        <f t="shared" ca="1" si="5"/>
        <v>1</v>
      </c>
      <c r="U69">
        <f t="shared" ca="1" si="12"/>
        <v>-6</v>
      </c>
    </row>
    <row r="70" spans="1:21" x14ac:dyDescent="0.3">
      <c r="A70">
        <v>63</v>
      </c>
      <c r="B70">
        <f t="shared" ca="1" si="0"/>
        <v>1</v>
      </c>
      <c r="C70">
        <f t="shared" ca="1" si="6"/>
        <v>7</v>
      </c>
      <c r="G70">
        <v>63</v>
      </c>
      <c r="H70">
        <f t="shared" ca="1" si="7"/>
        <v>6</v>
      </c>
      <c r="I70">
        <f t="shared" ca="1" si="1"/>
        <v>0</v>
      </c>
      <c r="J70">
        <f t="shared" ca="1" si="2"/>
        <v>1</v>
      </c>
      <c r="K70">
        <f t="shared" ca="1" si="3"/>
        <v>1</v>
      </c>
      <c r="L70">
        <f t="shared" ca="1" si="8"/>
        <v>7</v>
      </c>
      <c r="N70">
        <v>63</v>
      </c>
      <c r="O70" s="91" t="s">
        <v>38</v>
      </c>
      <c r="P70">
        <f t="shared" ca="1" si="9"/>
        <v>-6</v>
      </c>
      <c r="Q70">
        <f t="shared" ca="1" si="4"/>
        <v>0</v>
      </c>
      <c r="R70">
        <f t="shared" ca="1" si="10"/>
        <v>1</v>
      </c>
      <c r="S70">
        <f t="shared" ca="1" si="11"/>
        <v>0</v>
      </c>
      <c r="T70">
        <f t="shared" ca="1" si="5"/>
        <v>1</v>
      </c>
      <c r="U70">
        <f t="shared" ca="1" si="12"/>
        <v>-5</v>
      </c>
    </row>
    <row r="71" spans="1:21" x14ac:dyDescent="0.3">
      <c r="A71">
        <v>64</v>
      </c>
      <c r="B71">
        <f t="shared" ca="1" si="0"/>
        <v>0</v>
      </c>
      <c r="C71">
        <f t="shared" ca="1" si="6"/>
        <v>6</v>
      </c>
      <c r="G71">
        <v>64</v>
      </c>
      <c r="H71">
        <f t="shared" ca="1" si="7"/>
        <v>7</v>
      </c>
      <c r="I71">
        <f t="shared" ca="1" si="1"/>
        <v>1</v>
      </c>
      <c r="J71">
        <f t="shared" ca="1" si="2"/>
        <v>2</v>
      </c>
      <c r="K71">
        <f t="shared" ca="1" si="3"/>
        <v>0</v>
      </c>
      <c r="L71">
        <f t="shared" ca="1" si="8"/>
        <v>6</v>
      </c>
      <c r="N71">
        <v>64</v>
      </c>
      <c r="O71" s="91" t="s">
        <v>39</v>
      </c>
      <c r="P71">
        <f t="shared" ca="1" si="9"/>
        <v>-5</v>
      </c>
      <c r="Q71">
        <f t="shared" ca="1" si="4"/>
        <v>1</v>
      </c>
      <c r="R71">
        <f t="shared" ca="1" si="10"/>
        <v>2</v>
      </c>
      <c r="S71">
        <f t="shared" ca="1" si="11"/>
        <v>1</v>
      </c>
      <c r="T71">
        <f t="shared" ca="1" si="5"/>
        <v>1</v>
      </c>
      <c r="U71">
        <f t="shared" ca="1" si="12"/>
        <v>-4</v>
      </c>
    </row>
    <row r="72" spans="1:21" x14ac:dyDescent="0.3">
      <c r="A72">
        <v>65</v>
      </c>
      <c r="B72">
        <f t="shared" ref="B72:B107" ca="1" si="13">IF(RAND()&lt;=$B$5,1,0)</f>
        <v>1</v>
      </c>
      <c r="C72">
        <f t="shared" ca="1" si="6"/>
        <v>7</v>
      </c>
      <c r="G72">
        <v>65</v>
      </c>
      <c r="H72">
        <f t="shared" ca="1" si="7"/>
        <v>6</v>
      </c>
      <c r="I72">
        <f t="shared" ref="I72:I103" ca="1" si="14">MOD(H72,3)</f>
        <v>0</v>
      </c>
      <c r="J72">
        <f t="shared" ref="J72:J103" ca="1" si="15">IF(I72=0,1,2)</f>
        <v>1</v>
      </c>
      <c r="K72">
        <f t="shared" ref="K72:K107" ca="1" si="16">IF(I72=0,IF(RAND()&lt;=$H$5,1,0),IF(RAND()&lt;=$K$5,1,0))</f>
        <v>1</v>
      </c>
      <c r="L72">
        <f t="shared" ca="1" si="8"/>
        <v>7</v>
      </c>
      <c r="N72">
        <v>65</v>
      </c>
      <c r="O72" s="91" t="s">
        <v>39</v>
      </c>
      <c r="P72">
        <f t="shared" ca="1" si="9"/>
        <v>-4</v>
      </c>
      <c r="Q72">
        <f t="shared" ref="Q72:Q103" ca="1" si="17">MOD(P72,3)</f>
        <v>2</v>
      </c>
      <c r="R72">
        <f t="shared" ca="1" si="10"/>
        <v>2</v>
      </c>
      <c r="S72">
        <f t="shared" ca="1" si="11"/>
        <v>0</v>
      </c>
      <c r="T72">
        <f t="shared" ref="T72:T103" ca="1" si="18">IF(O72="A",B72,S72)</f>
        <v>0</v>
      </c>
      <c r="U72">
        <f t="shared" ca="1" si="12"/>
        <v>-5</v>
      </c>
    </row>
    <row r="73" spans="1:21" x14ac:dyDescent="0.3">
      <c r="A73">
        <v>66</v>
      </c>
      <c r="B73">
        <f t="shared" ca="1" si="13"/>
        <v>0</v>
      </c>
      <c r="C73">
        <f t="shared" ref="C73:C104" ca="1" si="19">IF(B73=1,1+C72,-1+C72)</f>
        <v>6</v>
      </c>
      <c r="G73">
        <v>66</v>
      </c>
      <c r="H73">
        <f t="shared" ref="H73:H107" ca="1" si="20">L72</f>
        <v>7</v>
      </c>
      <c r="I73">
        <f t="shared" ca="1" si="14"/>
        <v>1</v>
      </c>
      <c r="J73">
        <f t="shared" ca="1" si="15"/>
        <v>2</v>
      </c>
      <c r="K73">
        <f t="shared" ca="1" si="16"/>
        <v>1</v>
      </c>
      <c r="L73">
        <f t="shared" ref="L73:L104" ca="1" si="21">IF(K73=1,1+L72,-1+L72)</f>
        <v>8</v>
      </c>
      <c r="N73">
        <v>66</v>
      </c>
      <c r="O73" s="91" t="s">
        <v>38</v>
      </c>
      <c r="P73">
        <f t="shared" ref="P73:P107" ca="1" si="22">U72</f>
        <v>-5</v>
      </c>
      <c r="Q73">
        <f t="shared" ca="1" si="17"/>
        <v>1</v>
      </c>
      <c r="R73">
        <f t="shared" ref="R73:R104" ca="1" si="23">IF(Q73=0,1,2)</f>
        <v>2</v>
      </c>
      <c r="S73">
        <f t="shared" ref="S73:S107" ca="1" si="24">IF(Q73=0,IF(RAND()&lt;=$H$5,1,0),IF(RAND()&lt;=$K$5,1,0))</f>
        <v>0</v>
      </c>
      <c r="T73">
        <f t="shared" ca="1" si="18"/>
        <v>0</v>
      </c>
      <c r="U73">
        <f t="shared" ref="U73:U104" ca="1" si="25">IF(T73=1,1+U72,-1+U72)</f>
        <v>-6</v>
      </c>
    </row>
    <row r="74" spans="1:21" x14ac:dyDescent="0.3">
      <c r="A74">
        <v>67</v>
      </c>
      <c r="B74">
        <f t="shared" ca="1" si="13"/>
        <v>1</v>
      </c>
      <c r="C74">
        <f t="shared" ca="1" si="19"/>
        <v>7</v>
      </c>
      <c r="G74">
        <v>67</v>
      </c>
      <c r="H74">
        <f t="shared" ca="1" si="20"/>
        <v>8</v>
      </c>
      <c r="I74">
        <f t="shared" ca="1" si="14"/>
        <v>2</v>
      </c>
      <c r="J74">
        <f t="shared" ca="1" si="15"/>
        <v>2</v>
      </c>
      <c r="K74">
        <f t="shared" ca="1" si="16"/>
        <v>1</v>
      </c>
      <c r="L74">
        <f t="shared" ca="1" si="21"/>
        <v>9</v>
      </c>
      <c r="N74">
        <v>67</v>
      </c>
      <c r="O74" s="91" t="s">
        <v>39</v>
      </c>
      <c r="P74">
        <f t="shared" ca="1" si="22"/>
        <v>-6</v>
      </c>
      <c r="Q74">
        <f t="shared" ca="1" si="17"/>
        <v>0</v>
      </c>
      <c r="R74">
        <f t="shared" ca="1" si="23"/>
        <v>1</v>
      </c>
      <c r="S74">
        <f t="shared" ca="1" si="24"/>
        <v>1</v>
      </c>
      <c r="T74">
        <f t="shared" ca="1" si="18"/>
        <v>1</v>
      </c>
      <c r="U74">
        <f t="shared" ca="1" si="25"/>
        <v>-5</v>
      </c>
    </row>
    <row r="75" spans="1:21" x14ac:dyDescent="0.3">
      <c r="A75">
        <v>68</v>
      </c>
      <c r="B75">
        <f t="shared" ca="1" si="13"/>
        <v>0</v>
      </c>
      <c r="C75">
        <f t="shared" ca="1" si="19"/>
        <v>6</v>
      </c>
      <c r="G75">
        <v>68</v>
      </c>
      <c r="H75">
        <f t="shared" ca="1" si="20"/>
        <v>9</v>
      </c>
      <c r="I75">
        <f t="shared" ca="1" si="14"/>
        <v>0</v>
      </c>
      <c r="J75">
        <f t="shared" ca="1" si="15"/>
        <v>1</v>
      </c>
      <c r="K75">
        <f t="shared" ca="1" si="16"/>
        <v>0</v>
      </c>
      <c r="L75">
        <f t="shared" ca="1" si="21"/>
        <v>8</v>
      </c>
      <c r="N75">
        <v>68</v>
      </c>
      <c r="O75" s="91" t="s">
        <v>39</v>
      </c>
      <c r="P75">
        <f t="shared" ca="1" si="22"/>
        <v>-5</v>
      </c>
      <c r="Q75">
        <f t="shared" ca="1" si="17"/>
        <v>1</v>
      </c>
      <c r="R75">
        <f t="shared" ca="1" si="23"/>
        <v>2</v>
      </c>
      <c r="S75">
        <f t="shared" ca="1" si="24"/>
        <v>1</v>
      </c>
      <c r="T75">
        <f t="shared" ca="1" si="18"/>
        <v>1</v>
      </c>
      <c r="U75">
        <f t="shared" ca="1" si="25"/>
        <v>-4</v>
      </c>
    </row>
    <row r="76" spans="1:21" x14ac:dyDescent="0.3">
      <c r="A76">
        <v>69</v>
      </c>
      <c r="B76">
        <f t="shared" ca="1" si="13"/>
        <v>0</v>
      </c>
      <c r="C76">
        <f t="shared" ca="1" si="19"/>
        <v>5</v>
      </c>
      <c r="G76">
        <v>69</v>
      </c>
      <c r="H76">
        <f t="shared" ca="1" si="20"/>
        <v>8</v>
      </c>
      <c r="I76">
        <f t="shared" ca="1" si="14"/>
        <v>2</v>
      </c>
      <c r="J76">
        <f t="shared" ca="1" si="15"/>
        <v>2</v>
      </c>
      <c r="K76">
        <f t="shared" ca="1" si="16"/>
        <v>0</v>
      </c>
      <c r="L76">
        <f t="shared" ca="1" si="21"/>
        <v>7</v>
      </c>
      <c r="N76">
        <v>69</v>
      </c>
      <c r="O76" s="91" t="s">
        <v>38</v>
      </c>
      <c r="P76">
        <f t="shared" ca="1" si="22"/>
        <v>-4</v>
      </c>
      <c r="Q76">
        <f t="shared" ca="1" si="17"/>
        <v>2</v>
      </c>
      <c r="R76">
        <f t="shared" ca="1" si="23"/>
        <v>2</v>
      </c>
      <c r="S76">
        <f t="shared" ca="1" si="24"/>
        <v>1</v>
      </c>
      <c r="T76">
        <f t="shared" ca="1" si="18"/>
        <v>0</v>
      </c>
      <c r="U76">
        <f t="shared" ca="1" si="25"/>
        <v>-5</v>
      </c>
    </row>
    <row r="77" spans="1:21" x14ac:dyDescent="0.3">
      <c r="A77">
        <v>70</v>
      </c>
      <c r="B77">
        <f t="shared" ca="1" si="13"/>
        <v>0</v>
      </c>
      <c r="C77">
        <f t="shared" ca="1" si="19"/>
        <v>4</v>
      </c>
      <c r="G77">
        <v>70</v>
      </c>
      <c r="H77">
        <f t="shared" ca="1" si="20"/>
        <v>7</v>
      </c>
      <c r="I77">
        <f t="shared" ca="1" si="14"/>
        <v>1</v>
      </c>
      <c r="J77">
        <f t="shared" ca="1" si="15"/>
        <v>2</v>
      </c>
      <c r="K77">
        <f t="shared" ca="1" si="16"/>
        <v>1</v>
      </c>
      <c r="L77">
        <f t="shared" ca="1" si="21"/>
        <v>8</v>
      </c>
      <c r="N77">
        <v>70</v>
      </c>
      <c r="O77" s="91" t="s">
        <v>39</v>
      </c>
      <c r="P77">
        <f t="shared" ca="1" si="22"/>
        <v>-5</v>
      </c>
      <c r="Q77">
        <f t="shared" ca="1" si="17"/>
        <v>1</v>
      </c>
      <c r="R77">
        <f t="shared" ca="1" si="23"/>
        <v>2</v>
      </c>
      <c r="S77">
        <f t="shared" ca="1" si="24"/>
        <v>1</v>
      </c>
      <c r="T77">
        <f t="shared" ca="1" si="18"/>
        <v>1</v>
      </c>
      <c r="U77">
        <f t="shared" ca="1" si="25"/>
        <v>-4</v>
      </c>
    </row>
    <row r="78" spans="1:21" x14ac:dyDescent="0.3">
      <c r="A78">
        <v>71</v>
      </c>
      <c r="B78">
        <f t="shared" ca="1" si="13"/>
        <v>0</v>
      </c>
      <c r="C78">
        <f t="shared" ca="1" si="19"/>
        <v>3</v>
      </c>
      <c r="G78">
        <v>71</v>
      </c>
      <c r="H78">
        <f t="shared" ca="1" si="20"/>
        <v>8</v>
      </c>
      <c r="I78">
        <f t="shared" ca="1" si="14"/>
        <v>2</v>
      </c>
      <c r="J78">
        <f t="shared" ca="1" si="15"/>
        <v>2</v>
      </c>
      <c r="K78">
        <f t="shared" ca="1" si="16"/>
        <v>0</v>
      </c>
      <c r="L78">
        <f t="shared" ca="1" si="21"/>
        <v>7</v>
      </c>
      <c r="N78">
        <v>71</v>
      </c>
      <c r="O78" s="91" t="s">
        <v>39</v>
      </c>
      <c r="P78">
        <f t="shared" ca="1" si="22"/>
        <v>-4</v>
      </c>
      <c r="Q78">
        <f t="shared" ca="1" si="17"/>
        <v>2</v>
      </c>
      <c r="R78">
        <f t="shared" ca="1" si="23"/>
        <v>2</v>
      </c>
      <c r="S78">
        <f t="shared" ca="1" si="24"/>
        <v>1</v>
      </c>
      <c r="T78">
        <f t="shared" ca="1" si="18"/>
        <v>1</v>
      </c>
      <c r="U78">
        <f t="shared" ca="1" si="25"/>
        <v>-3</v>
      </c>
    </row>
    <row r="79" spans="1:21" x14ac:dyDescent="0.3">
      <c r="A79">
        <v>72</v>
      </c>
      <c r="B79">
        <f t="shared" ca="1" si="13"/>
        <v>1</v>
      </c>
      <c r="C79">
        <f t="shared" ca="1" si="19"/>
        <v>4</v>
      </c>
      <c r="G79">
        <v>72</v>
      </c>
      <c r="H79">
        <f t="shared" ca="1" si="20"/>
        <v>7</v>
      </c>
      <c r="I79">
        <f t="shared" ca="1" si="14"/>
        <v>1</v>
      </c>
      <c r="J79">
        <f t="shared" ca="1" si="15"/>
        <v>2</v>
      </c>
      <c r="K79">
        <f t="shared" ca="1" si="16"/>
        <v>1</v>
      </c>
      <c r="L79">
        <f t="shared" ca="1" si="21"/>
        <v>8</v>
      </c>
      <c r="N79">
        <v>72</v>
      </c>
      <c r="O79" s="91" t="s">
        <v>38</v>
      </c>
      <c r="P79">
        <f t="shared" ca="1" si="22"/>
        <v>-3</v>
      </c>
      <c r="Q79">
        <f t="shared" ca="1" si="17"/>
        <v>0</v>
      </c>
      <c r="R79">
        <f t="shared" ca="1" si="23"/>
        <v>1</v>
      </c>
      <c r="S79">
        <f t="shared" ca="1" si="24"/>
        <v>0</v>
      </c>
      <c r="T79">
        <f t="shared" ca="1" si="18"/>
        <v>1</v>
      </c>
      <c r="U79">
        <f t="shared" ca="1" si="25"/>
        <v>-2</v>
      </c>
    </row>
    <row r="80" spans="1:21" x14ac:dyDescent="0.3">
      <c r="A80">
        <v>73</v>
      </c>
      <c r="B80">
        <f t="shared" ca="1" si="13"/>
        <v>0</v>
      </c>
      <c r="C80">
        <f t="shared" ca="1" si="19"/>
        <v>3</v>
      </c>
      <c r="G80">
        <v>73</v>
      </c>
      <c r="H80">
        <f t="shared" ca="1" si="20"/>
        <v>8</v>
      </c>
      <c r="I80">
        <f t="shared" ca="1" si="14"/>
        <v>2</v>
      </c>
      <c r="J80">
        <f t="shared" ca="1" si="15"/>
        <v>2</v>
      </c>
      <c r="K80">
        <f t="shared" ca="1" si="16"/>
        <v>0</v>
      </c>
      <c r="L80">
        <f t="shared" ca="1" si="21"/>
        <v>7</v>
      </c>
      <c r="N80">
        <v>73</v>
      </c>
      <c r="O80" s="91" t="s">
        <v>39</v>
      </c>
      <c r="P80">
        <f t="shared" ca="1" si="22"/>
        <v>-2</v>
      </c>
      <c r="Q80">
        <f t="shared" ca="1" si="17"/>
        <v>1</v>
      </c>
      <c r="R80">
        <f t="shared" ca="1" si="23"/>
        <v>2</v>
      </c>
      <c r="S80">
        <f t="shared" ca="1" si="24"/>
        <v>1</v>
      </c>
      <c r="T80">
        <f t="shared" ca="1" si="18"/>
        <v>1</v>
      </c>
      <c r="U80">
        <f t="shared" ca="1" si="25"/>
        <v>-1</v>
      </c>
    </row>
    <row r="81" spans="1:21" x14ac:dyDescent="0.3">
      <c r="A81">
        <v>74</v>
      </c>
      <c r="B81">
        <f t="shared" ca="1" si="13"/>
        <v>0</v>
      </c>
      <c r="C81">
        <f t="shared" ca="1" si="19"/>
        <v>2</v>
      </c>
      <c r="G81">
        <v>74</v>
      </c>
      <c r="H81">
        <f t="shared" ca="1" si="20"/>
        <v>7</v>
      </c>
      <c r="I81">
        <f t="shared" ca="1" si="14"/>
        <v>1</v>
      </c>
      <c r="J81">
        <f t="shared" ca="1" si="15"/>
        <v>2</v>
      </c>
      <c r="K81">
        <f t="shared" ca="1" si="16"/>
        <v>1</v>
      </c>
      <c r="L81">
        <f t="shared" ca="1" si="21"/>
        <v>8</v>
      </c>
      <c r="N81">
        <v>74</v>
      </c>
      <c r="O81" s="91" t="s">
        <v>39</v>
      </c>
      <c r="P81">
        <f t="shared" ca="1" si="22"/>
        <v>-1</v>
      </c>
      <c r="Q81">
        <f t="shared" ca="1" si="17"/>
        <v>2</v>
      </c>
      <c r="R81">
        <f t="shared" ca="1" si="23"/>
        <v>2</v>
      </c>
      <c r="S81">
        <f t="shared" ca="1" si="24"/>
        <v>0</v>
      </c>
      <c r="T81">
        <f t="shared" ca="1" si="18"/>
        <v>0</v>
      </c>
      <c r="U81">
        <f t="shared" ca="1" si="25"/>
        <v>-2</v>
      </c>
    </row>
    <row r="82" spans="1:21" x14ac:dyDescent="0.3">
      <c r="A82">
        <v>75</v>
      </c>
      <c r="B82">
        <f t="shared" ca="1" si="13"/>
        <v>1</v>
      </c>
      <c r="C82">
        <f t="shared" ca="1" si="19"/>
        <v>3</v>
      </c>
      <c r="G82">
        <v>75</v>
      </c>
      <c r="H82">
        <f t="shared" ca="1" si="20"/>
        <v>8</v>
      </c>
      <c r="I82">
        <f t="shared" ca="1" si="14"/>
        <v>2</v>
      </c>
      <c r="J82">
        <f t="shared" ca="1" si="15"/>
        <v>2</v>
      </c>
      <c r="K82">
        <f t="shared" ca="1" si="16"/>
        <v>1</v>
      </c>
      <c r="L82">
        <f t="shared" ca="1" si="21"/>
        <v>9</v>
      </c>
      <c r="N82">
        <v>75</v>
      </c>
      <c r="O82" s="91" t="s">
        <v>38</v>
      </c>
      <c r="P82">
        <f t="shared" ca="1" si="22"/>
        <v>-2</v>
      </c>
      <c r="Q82">
        <f t="shared" ca="1" si="17"/>
        <v>1</v>
      </c>
      <c r="R82">
        <f t="shared" ca="1" si="23"/>
        <v>2</v>
      </c>
      <c r="S82">
        <f t="shared" ca="1" si="24"/>
        <v>1</v>
      </c>
      <c r="T82">
        <f t="shared" ca="1" si="18"/>
        <v>1</v>
      </c>
      <c r="U82">
        <f t="shared" ca="1" si="25"/>
        <v>-1</v>
      </c>
    </row>
    <row r="83" spans="1:21" x14ac:dyDescent="0.3">
      <c r="A83">
        <v>76</v>
      </c>
      <c r="B83">
        <f t="shared" ca="1" si="13"/>
        <v>1</v>
      </c>
      <c r="C83">
        <f t="shared" ca="1" si="19"/>
        <v>4</v>
      </c>
      <c r="G83">
        <v>76</v>
      </c>
      <c r="H83">
        <f t="shared" ca="1" si="20"/>
        <v>9</v>
      </c>
      <c r="I83">
        <f t="shared" ca="1" si="14"/>
        <v>0</v>
      </c>
      <c r="J83">
        <f t="shared" ca="1" si="15"/>
        <v>1</v>
      </c>
      <c r="K83">
        <f t="shared" ca="1" si="16"/>
        <v>1</v>
      </c>
      <c r="L83">
        <f t="shared" ca="1" si="21"/>
        <v>10</v>
      </c>
      <c r="N83">
        <v>76</v>
      </c>
      <c r="O83" s="91" t="s">
        <v>39</v>
      </c>
      <c r="P83">
        <f t="shared" ca="1" si="22"/>
        <v>-1</v>
      </c>
      <c r="Q83">
        <f t="shared" ca="1" si="17"/>
        <v>2</v>
      </c>
      <c r="R83">
        <f t="shared" ca="1" si="23"/>
        <v>2</v>
      </c>
      <c r="S83">
        <f t="shared" ca="1" si="24"/>
        <v>1</v>
      </c>
      <c r="T83">
        <f t="shared" ca="1" si="18"/>
        <v>1</v>
      </c>
      <c r="U83">
        <f t="shared" ca="1" si="25"/>
        <v>0</v>
      </c>
    </row>
    <row r="84" spans="1:21" x14ac:dyDescent="0.3">
      <c r="A84">
        <v>77</v>
      </c>
      <c r="B84">
        <f t="shared" ca="1" si="13"/>
        <v>0</v>
      </c>
      <c r="C84">
        <f t="shared" ca="1" si="19"/>
        <v>3</v>
      </c>
      <c r="G84">
        <v>77</v>
      </c>
      <c r="H84">
        <f t="shared" ca="1" si="20"/>
        <v>10</v>
      </c>
      <c r="I84">
        <f t="shared" ca="1" si="14"/>
        <v>1</v>
      </c>
      <c r="J84">
        <f t="shared" ca="1" si="15"/>
        <v>2</v>
      </c>
      <c r="K84">
        <f t="shared" ca="1" si="16"/>
        <v>1</v>
      </c>
      <c r="L84">
        <f t="shared" ca="1" si="21"/>
        <v>11</v>
      </c>
      <c r="N84">
        <v>77</v>
      </c>
      <c r="O84" s="91" t="s">
        <v>39</v>
      </c>
      <c r="P84">
        <f t="shared" ca="1" si="22"/>
        <v>0</v>
      </c>
      <c r="Q84">
        <f t="shared" ca="1" si="17"/>
        <v>0</v>
      </c>
      <c r="R84">
        <f t="shared" ca="1" si="23"/>
        <v>1</v>
      </c>
      <c r="S84">
        <f t="shared" ca="1" si="24"/>
        <v>0</v>
      </c>
      <c r="T84">
        <f t="shared" ca="1" si="18"/>
        <v>0</v>
      </c>
      <c r="U84">
        <f t="shared" ca="1" si="25"/>
        <v>-1</v>
      </c>
    </row>
    <row r="85" spans="1:21" x14ac:dyDescent="0.3">
      <c r="A85">
        <v>78</v>
      </c>
      <c r="B85">
        <f t="shared" ca="1" si="13"/>
        <v>1</v>
      </c>
      <c r="C85">
        <f t="shared" ca="1" si="19"/>
        <v>4</v>
      </c>
      <c r="G85">
        <v>78</v>
      </c>
      <c r="H85">
        <f t="shared" ca="1" si="20"/>
        <v>11</v>
      </c>
      <c r="I85">
        <f t="shared" ca="1" si="14"/>
        <v>2</v>
      </c>
      <c r="J85">
        <f t="shared" ca="1" si="15"/>
        <v>2</v>
      </c>
      <c r="K85">
        <f t="shared" ca="1" si="16"/>
        <v>1</v>
      </c>
      <c r="L85">
        <f t="shared" ca="1" si="21"/>
        <v>12</v>
      </c>
      <c r="N85">
        <v>78</v>
      </c>
      <c r="O85" s="91" t="s">
        <v>38</v>
      </c>
      <c r="P85">
        <f t="shared" ca="1" si="22"/>
        <v>-1</v>
      </c>
      <c r="Q85">
        <f t="shared" ca="1" si="17"/>
        <v>2</v>
      </c>
      <c r="R85">
        <f t="shared" ca="1" si="23"/>
        <v>2</v>
      </c>
      <c r="S85">
        <f t="shared" ca="1" si="24"/>
        <v>1</v>
      </c>
      <c r="T85">
        <f t="shared" ca="1" si="18"/>
        <v>1</v>
      </c>
      <c r="U85">
        <f t="shared" ca="1" si="25"/>
        <v>0</v>
      </c>
    </row>
    <row r="86" spans="1:21" x14ac:dyDescent="0.3">
      <c r="A86">
        <v>79</v>
      </c>
      <c r="B86">
        <f t="shared" ca="1" si="13"/>
        <v>1</v>
      </c>
      <c r="C86">
        <f t="shared" ca="1" si="19"/>
        <v>5</v>
      </c>
      <c r="G86">
        <v>79</v>
      </c>
      <c r="H86">
        <f t="shared" ca="1" si="20"/>
        <v>12</v>
      </c>
      <c r="I86">
        <f t="shared" ca="1" si="14"/>
        <v>0</v>
      </c>
      <c r="J86">
        <f t="shared" ca="1" si="15"/>
        <v>1</v>
      </c>
      <c r="K86">
        <f t="shared" ca="1" si="16"/>
        <v>0</v>
      </c>
      <c r="L86">
        <f t="shared" ca="1" si="21"/>
        <v>11</v>
      </c>
      <c r="N86">
        <v>79</v>
      </c>
      <c r="O86" s="91" t="s">
        <v>39</v>
      </c>
      <c r="P86">
        <f t="shared" ca="1" si="22"/>
        <v>0</v>
      </c>
      <c r="Q86">
        <f t="shared" ca="1" si="17"/>
        <v>0</v>
      </c>
      <c r="R86">
        <f t="shared" ca="1" si="23"/>
        <v>1</v>
      </c>
      <c r="S86">
        <f t="shared" ca="1" si="24"/>
        <v>0</v>
      </c>
      <c r="T86">
        <f t="shared" ca="1" si="18"/>
        <v>0</v>
      </c>
      <c r="U86">
        <f t="shared" ca="1" si="25"/>
        <v>-1</v>
      </c>
    </row>
    <row r="87" spans="1:21" x14ac:dyDescent="0.3">
      <c r="A87">
        <v>80</v>
      </c>
      <c r="B87">
        <f t="shared" ca="1" si="13"/>
        <v>0</v>
      </c>
      <c r="C87">
        <f t="shared" ca="1" si="19"/>
        <v>4</v>
      </c>
      <c r="G87">
        <v>80</v>
      </c>
      <c r="H87">
        <f t="shared" ca="1" si="20"/>
        <v>11</v>
      </c>
      <c r="I87">
        <f t="shared" ca="1" si="14"/>
        <v>2</v>
      </c>
      <c r="J87">
        <f t="shared" ca="1" si="15"/>
        <v>2</v>
      </c>
      <c r="K87">
        <f t="shared" ca="1" si="16"/>
        <v>1</v>
      </c>
      <c r="L87">
        <f t="shared" ca="1" si="21"/>
        <v>12</v>
      </c>
      <c r="N87">
        <v>80</v>
      </c>
      <c r="O87" s="91" t="s">
        <v>39</v>
      </c>
      <c r="P87">
        <f t="shared" ca="1" si="22"/>
        <v>-1</v>
      </c>
      <c r="Q87">
        <f t="shared" ca="1" si="17"/>
        <v>2</v>
      </c>
      <c r="R87">
        <f t="shared" ca="1" si="23"/>
        <v>2</v>
      </c>
      <c r="S87">
        <f t="shared" ca="1" si="24"/>
        <v>1</v>
      </c>
      <c r="T87">
        <f t="shared" ca="1" si="18"/>
        <v>1</v>
      </c>
      <c r="U87">
        <f t="shared" ca="1" si="25"/>
        <v>0</v>
      </c>
    </row>
    <row r="88" spans="1:21" x14ac:dyDescent="0.3">
      <c r="A88">
        <v>81</v>
      </c>
      <c r="B88">
        <f t="shared" ca="1" si="13"/>
        <v>0</v>
      </c>
      <c r="C88">
        <f t="shared" ca="1" si="19"/>
        <v>3</v>
      </c>
      <c r="G88">
        <v>81</v>
      </c>
      <c r="H88">
        <f t="shared" ca="1" si="20"/>
        <v>12</v>
      </c>
      <c r="I88">
        <f t="shared" ca="1" si="14"/>
        <v>0</v>
      </c>
      <c r="J88">
        <f t="shared" ca="1" si="15"/>
        <v>1</v>
      </c>
      <c r="K88">
        <f t="shared" ca="1" si="16"/>
        <v>0</v>
      </c>
      <c r="L88">
        <f t="shared" ca="1" si="21"/>
        <v>11</v>
      </c>
      <c r="N88">
        <v>81</v>
      </c>
      <c r="O88" s="91" t="s">
        <v>38</v>
      </c>
      <c r="P88">
        <f t="shared" ca="1" si="22"/>
        <v>0</v>
      </c>
      <c r="Q88">
        <f t="shared" ca="1" si="17"/>
        <v>0</v>
      </c>
      <c r="R88">
        <f t="shared" ca="1" si="23"/>
        <v>1</v>
      </c>
      <c r="S88">
        <f t="shared" ca="1" si="24"/>
        <v>0</v>
      </c>
      <c r="T88">
        <f t="shared" ca="1" si="18"/>
        <v>0</v>
      </c>
      <c r="U88">
        <f t="shared" ca="1" si="25"/>
        <v>-1</v>
      </c>
    </row>
    <row r="89" spans="1:21" x14ac:dyDescent="0.3">
      <c r="A89">
        <v>82</v>
      </c>
      <c r="B89">
        <f t="shared" ca="1" si="13"/>
        <v>0</v>
      </c>
      <c r="C89">
        <f t="shared" ca="1" si="19"/>
        <v>2</v>
      </c>
      <c r="G89">
        <v>82</v>
      </c>
      <c r="H89">
        <f t="shared" ca="1" si="20"/>
        <v>11</v>
      </c>
      <c r="I89">
        <f t="shared" ca="1" si="14"/>
        <v>2</v>
      </c>
      <c r="J89">
        <f t="shared" ca="1" si="15"/>
        <v>2</v>
      </c>
      <c r="K89">
        <f t="shared" ca="1" si="16"/>
        <v>1</v>
      </c>
      <c r="L89">
        <f t="shared" ca="1" si="21"/>
        <v>12</v>
      </c>
      <c r="N89">
        <v>82</v>
      </c>
      <c r="O89" s="91" t="s">
        <v>39</v>
      </c>
      <c r="P89">
        <f t="shared" ca="1" si="22"/>
        <v>-1</v>
      </c>
      <c r="Q89">
        <f t="shared" ca="1" si="17"/>
        <v>2</v>
      </c>
      <c r="R89">
        <f t="shared" ca="1" si="23"/>
        <v>2</v>
      </c>
      <c r="S89">
        <f t="shared" ca="1" si="24"/>
        <v>1</v>
      </c>
      <c r="T89">
        <f t="shared" ca="1" si="18"/>
        <v>1</v>
      </c>
      <c r="U89">
        <f t="shared" ca="1" si="25"/>
        <v>0</v>
      </c>
    </row>
    <row r="90" spans="1:21" x14ac:dyDescent="0.3">
      <c r="A90">
        <v>83</v>
      </c>
      <c r="B90">
        <f t="shared" ca="1" si="13"/>
        <v>1</v>
      </c>
      <c r="C90">
        <f t="shared" ca="1" si="19"/>
        <v>3</v>
      </c>
      <c r="G90">
        <v>83</v>
      </c>
      <c r="H90">
        <f t="shared" ca="1" si="20"/>
        <v>12</v>
      </c>
      <c r="I90">
        <f t="shared" ca="1" si="14"/>
        <v>0</v>
      </c>
      <c r="J90">
        <f t="shared" ca="1" si="15"/>
        <v>1</v>
      </c>
      <c r="K90">
        <f t="shared" ca="1" si="16"/>
        <v>0</v>
      </c>
      <c r="L90">
        <f t="shared" ca="1" si="21"/>
        <v>11</v>
      </c>
      <c r="N90">
        <v>83</v>
      </c>
      <c r="O90" s="91" t="s">
        <v>39</v>
      </c>
      <c r="P90">
        <f t="shared" ca="1" si="22"/>
        <v>0</v>
      </c>
      <c r="Q90">
        <f t="shared" ca="1" si="17"/>
        <v>0</v>
      </c>
      <c r="R90">
        <f t="shared" ca="1" si="23"/>
        <v>1</v>
      </c>
      <c r="S90">
        <f t="shared" ca="1" si="24"/>
        <v>0</v>
      </c>
      <c r="T90">
        <f t="shared" ca="1" si="18"/>
        <v>0</v>
      </c>
      <c r="U90">
        <f t="shared" ca="1" si="25"/>
        <v>-1</v>
      </c>
    </row>
    <row r="91" spans="1:21" x14ac:dyDescent="0.3">
      <c r="A91">
        <v>84</v>
      </c>
      <c r="B91">
        <f t="shared" ca="1" si="13"/>
        <v>0</v>
      </c>
      <c r="C91">
        <f t="shared" ca="1" si="19"/>
        <v>2</v>
      </c>
      <c r="G91">
        <v>84</v>
      </c>
      <c r="H91">
        <f t="shared" ca="1" si="20"/>
        <v>11</v>
      </c>
      <c r="I91">
        <f t="shared" ca="1" si="14"/>
        <v>2</v>
      </c>
      <c r="J91">
        <f t="shared" ca="1" si="15"/>
        <v>2</v>
      </c>
      <c r="K91">
        <f t="shared" ca="1" si="16"/>
        <v>0</v>
      </c>
      <c r="L91">
        <f t="shared" ca="1" si="21"/>
        <v>10</v>
      </c>
      <c r="N91">
        <v>84</v>
      </c>
      <c r="O91" s="91" t="s">
        <v>38</v>
      </c>
      <c r="P91">
        <f t="shared" ca="1" si="22"/>
        <v>-1</v>
      </c>
      <c r="Q91">
        <f t="shared" ca="1" si="17"/>
        <v>2</v>
      </c>
      <c r="R91">
        <f t="shared" ca="1" si="23"/>
        <v>2</v>
      </c>
      <c r="S91">
        <f t="shared" ca="1" si="24"/>
        <v>0</v>
      </c>
      <c r="T91">
        <f t="shared" ca="1" si="18"/>
        <v>0</v>
      </c>
      <c r="U91">
        <f t="shared" ca="1" si="25"/>
        <v>-2</v>
      </c>
    </row>
    <row r="92" spans="1:21" x14ac:dyDescent="0.3">
      <c r="A92">
        <v>85</v>
      </c>
      <c r="B92">
        <f t="shared" ca="1" si="13"/>
        <v>0</v>
      </c>
      <c r="C92">
        <f t="shared" ca="1" si="19"/>
        <v>1</v>
      </c>
      <c r="G92">
        <v>85</v>
      </c>
      <c r="H92">
        <f t="shared" ca="1" si="20"/>
        <v>10</v>
      </c>
      <c r="I92">
        <f t="shared" ca="1" si="14"/>
        <v>1</v>
      </c>
      <c r="J92">
        <f t="shared" ca="1" si="15"/>
        <v>2</v>
      </c>
      <c r="K92">
        <f t="shared" ca="1" si="16"/>
        <v>1</v>
      </c>
      <c r="L92">
        <f t="shared" ca="1" si="21"/>
        <v>11</v>
      </c>
      <c r="N92">
        <v>85</v>
      </c>
      <c r="O92" s="91" t="s">
        <v>39</v>
      </c>
      <c r="P92">
        <f t="shared" ca="1" si="22"/>
        <v>-2</v>
      </c>
      <c r="Q92">
        <f t="shared" ca="1" si="17"/>
        <v>1</v>
      </c>
      <c r="R92">
        <f t="shared" ca="1" si="23"/>
        <v>2</v>
      </c>
      <c r="S92">
        <f t="shared" ca="1" si="24"/>
        <v>1</v>
      </c>
      <c r="T92">
        <f t="shared" ca="1" si="18"/>
        <v>1</v>
      </c>
      <c r="U92">
        <f t="shared" ca="1" si="25"/>
        <v>-1</v>
      </c>
    </row>
    <row r="93" spans="1:21" x14ac:dyDescent="0.3">
      <c r="A93">
        <v>86</v>
      </c>
      <c r="B93">
        <f t="shared" ca="1" si="13"/>
        <v>1</v>
      </c>
      <c r="C93">
        <f t="shared" ca="1" si="19"/>
        <v>2</v>
      </c>
      <c r="G93">
        <v>86</v>
      </c>
      <c r="H93">
        <f t="shared" ca="1" si="20"/>
        <v>11</v>
      </c>
      <c r="I93">
        <f t="shared" ca="1" si="14"/>
        <v>2</v>
      </c>
      <c r="J93">
        <f t="shared" ca="1" si="15"/>
        <v>2</v>
      </c>
      <c r="K93">
        <f t="shared" ca="1" si="16"/>
        <v>1</v>
      </c>
      <c r="L93">
        <f t="shared" ca="1" si="21"/>
        <v>12</v>
      </c>
      <c r="N93">
        <v>86</v>
      </c>
      <c r="O93" s="91" t="s">
        <v>39</v>
      </c>
      <c r="P93">
        <f t="shared" ca="1" si="22"/>
        <v>-1</v>
      </c>
      <c r="Q93">
        <f t="shared" ca="1" si="17"/>
        <v>2</v>
      </c>
      <c r="R93">
        <f t="shared" ca="1" si="23"/>
        <v>2</v>
      </c>
      <c r="S93">
        <f t="shared" ca="1" si="24"/>
        <v>1</v>
      </c>
      <c r="T93">
        <f t="shared" ca="1" si="18"/>
        <v>1</v>
      </c>
      <c r="U93">
        <f t="shared" ca="1" si="25"/>
        <v>0</v>
      </c>
    </row>
    <row r="94" spans="1:21" x14ac:dyDescent="0.3">
      <c r="A94">
        <v>87</v>
      </c>
      <c r="B94">
        <f t="shared" ca="1" si="13"/>
        <v>0</v>
      </c>
      <c r="C94">
        <f t="shared" ca="1" si="19"/>
        <v>1</v>
      </c>
      <c r="G94">
        <v>87</v>
      </c>
      <c r="H94">
        <f t="shared" ca="1" si="20"/>
        <v>12</v>
      </c>
      <c r="I94">
        <f t="shared" ca="1" si="14"/>
        <v>0</v>
      </c>
      <c r="J94">
        <f t="shared" ca="1" si="15"/>
        <v>1</v>
      </c>
      <c r="K94">
        <f t="shared" ca="1" si="16"/>
        <v>0</v>
      </c>
      <c r="L94">
        <f t="shared" ca="1" si="21"/>
        <v>11</v>
      </c>
      <c r="N94">
        <v>87</v>
      </c>
      <c r="O94" s="91" t="s">
        <v>38</v>
      </c>
      <c r="P94">
        <f t="shared" ca="1" si="22"/>
        <v>0</v>
      </c>
      <c r="Q94">
        <f t="shared" ca="1" si="17"/>
        <v>0</v>
      </c>
      <c r="R94">
        <f t="shared" ca="1" si="23"/>
        <v>1</v>
      </c>
      <c r="S94">
        <f t="shared" ca="1" si="24"/>
        <v>1</v>
      </c>
      <c r="T94">
        <f t="shared" ca="1" si="18"/>
        <v>0</v>
      </c>
      <c r="U94">
        <f t="shared" ca="1" si="25"/>
        <v>-1</v>
      </c>
    </row>
    <row r="95" spans="1:21" x14ac:dyDescent="0.3">
      <c r="A95">
        <v>88</v>
      </c>
      <c r="B95">
        <f t="shared" ca="1" si="13"/>
        <v>0</v>
      </c>
      <c r="C95">
        <f t="shared" ca="1" si="19"/>
        <v>0</v>
      </c>
      <c r="G95">
        <v>88</v>
      </c>
      <c r="H95">
        <f t="shared" ca="1" si="20"/>
        <v>11</v>
      </c>
      <c r="I95">
        <f t="shared" ca="1" si="14"/>
        <v>2</v>
      </c>
      <c r="J95">
        <f t="shared" ca="1" si="15"/>
        <v>2</v>
      </c>
      <c r="K95">
        <f t="shared" ca="1" si="16"/>
        <v>0</v>
      </c>
      <c r="L95">
        <f t="shared" ca="1" si="21"/>
        <v>10</v>
      </c>
      <c r="N95">
        <v>88</v>
      </c>
      <c r="O95" s="91" t="s">
        <v>39</v>
      </c>
      <c r="P95">
        <f t="shared" ca="1" si="22"/>
        <v>-1</v>
      </c>
      <c r="Q95">
        <f t="shared" ca="1" si="17"/>
        <v>2</v>
      </c>
      <c r="R95">
        <f t="shared" ca="1" si="23"/>
        <v>2</v>
      </c>
      <c r="S95">
        <f t="shared" ca="1" si="24"/>
        <v>1</v>
      </c>
      <c r="T95">
        <f t="shared" ca="1" si="18"/>
        <v>1</v>
      </c>
      <c r="U95">
        <f t="shared" ca="1" si="25"/>
        <v>0</v>
      </c>
    </row>
    <row r="96" spans="1:21" x14ac:dyDescent="0.3">
      <c r="A96">
        <v>89</v>
      </c>
      <c r="B96">
        <f t="shared" ca="1" si="13"/>
        <v>1</v>
      </c>
      <c r="C96">
        <f t="shared" ca="1" si="19"/>
        <v>1</v>
      </c>
      <c r="G96">
        <v>89</v>
      </c>
      <c r="H96">
        <f t="shared" ca="1" si="20"/>
        <v>10</v>
      </c>
      <c r="I96">
        <f t="shared" ca="1" si="14"/>
        <v>1</v>
      </c>
      <c r="J96">
        <f t="shared" ca="1" si="15"/>
        <v>2</v>
      </c>
      <c r="K96">
        <f t="shared" ca="1" si="16"/>
        <v>1</v>
      </c>
      <c r="L96">
        <f t="shared" ca="1" si="21"/>
        <v>11</v>
      </c>
      <c r="N96">
        <v>89</v>
      </c>
      <c r="O96" s="91" t="s">
        <v>39</v>
      </c>
      <c r="P96">
        <f t="shared" ca="1" si="22"/>
        <v>0</v>
      </c>
      <c r="Q96">
        <f t="shared" ca="1" si="17"/>
        <v>0</v>
      </c>
      <c r="R96">
        <f t="shared" ca="1" si="23"/>
        <v>1</v>
      </c>
      <c r="S96">
        <f t="shared" ca="1" si="24"/>
        <v>0</v>
      </c>
      <c r="T96">
        <f t="shared" ca="1" si="18"/>
        <v>0</v>
      </c>
      <c r="U96">
        <f t="shared" ca="1" si="25"/>
        <v>-1</v>
      </c>
    </row>
    <row r="97" spans="1:21" x14ac:dyDescent="0.3">
      <c r="A97">
        <v>90</v>
      </c>
      <c r="B97">
        <f t="shared" ca="1" si="13"/>
        <v>0</v>
      </c>
      <c r="C97">
        <f t="shared" ca="1" si="19"/>
        <v>0</v>
      </c>
      <c r="G97">
        <v>90</v>
      </c>
      <c r="H97">
        <f t="shared" ca="1" si="20"/>
        <v>11</v>
      </c>
      <c r="I97">
        <f t="shared" ca="1" si="14"/>
        <v>2</v>
      </c>
      <c r="J97">
        <f t="shared" ca="1" si="15"/>
        <v>2</v>
      </c>
      <c r="K97">
        <f t="shared" ca="1" si="16"/>
        <v>0</v>
      </c>
      <c r="L97">
        <f t="shared" ca="1" si="21"/>
        <v>10</v>
      </c>
      <c r="N97">
        <v>90</v>
      </c>
      <c r="O97" s="91" t="s">
        <v>38</v>
      </c>
      <c r="P97">
        <f t="shared" ca="1" si="22"/>
        <v>-1</v>
      </c>
      <c r="Q97">
        <f t="shared" ca="1" si="17"/>
        <v>2</v>
      </c>
      <c r="R97">
        <f t="shared" ca="1" si="23"/>
        <v>2</v>
      </c>
      <c r="S97">
        <f t="shared" ca="1" si="24"/>
        <v>1</v>
      </c>
      <c r="T97">
        <f t="shared" ca="1" si="18"/>
        <v>0</v>
      </c>
      <c r="U97">
        <f t="shared" ca="1" si="25"/>
        <v>-2</v>
      </c>
    </row>
    <row r="98" spans="1:21" x14ac:dyDescent="0.3">
      <c r="A98">
        <v>91</v>
      </c>
      <c r="B98">
        <f t="shared" ca="1" si="13"/>
        <v>0</v>
      </c>
      <c r="C98">
        <f t="shared" ca="1" si="19"/>
        <v>-1</v>
      </c>
      <c r="G98">
        <v>91</v>
      </c>
      <c r="H98">
        <f t="shared" ca="1" si="20"/>
        <v>10</v>
      </c>
      <c r="I98">
        <f t="shared" ca="1" si="14"/>
        <v>1</v>
      </c>
      <c r="J98">
        <f t="shared" ca="1" si="15"/>
        <v>2</v>
      </c>
      <c r="K98">
        <f t="shared" ca="1" si="16"/>
        <v>1</v>
      </c>
      <c r="L98">
        <f t="shared" ca="1" si="21"/>
        <v>11</v>
      </c>
      <c r="N98">
        <v>91</v>
      </c>
      <c r="O98" s="91" t="s">
        <v>39</v>
      </c>
      <c r="P98">
        <f t="shared" ca="1" si="22"/>
        <v>-2</v>
      </c>
      <c r="Q98">
        <f t="shared" ca="1" si="17"/>
        <v>1</v>
      </c>
      <c r="R98">
        <f t="shared" ca="1" si="23"/>
        <v>2</v>
      </c>
      <c r="S98">
        <f t="shared" ca="1" si="24"/>
        <v>1</v>
      </c>
      <c r="T98">
        <f t="shared" ca="1" si="18"/>
        <v>1</v>
      </c>
      <c r="U98">
        <f t="shared" ca="1" si="25"/>
        <v>-1</v>
      </c>
    </row>
    <row r="99" spans="1:21" x14ac:dyDescent="0.3">
      <c r="A99">
        <v>92</v>
      </c>
      <c r="B99">
        <f t="shared" ca="1" si="13"/>
        <v>1</v>
      </c>
      <c r="C99">
        <f t="shared" ca="1" si="19"/>
        <v>0</v>
      </c>
      <c r="G99">
        <v>92</v>
      </c>
      <c r="H99">
        <f t="shared" ca="1" si="20"/>
        <v>11</v>
      </c>
      <c r="I99">
        <f t="shared" ca="1" si="14"/>
        <v>2</v>
      </c>
      <c r="J99">
        <f t="shared" ca="1" si="15"/>
        <v>2</v>
      </c>
      <c r="K99">
        <f t="shared" ca="1" si="16"/>
        <v>0</v>
      </c>
      <c r="L99">
        <f t="shared" ca="1" si="21"/>
        <v>10</v>
      </c>
      <c r="N99">
        <v>92</v>
      </c>
      <c r="O99" s="91" t="s">
        <v>39</v>
      </c>
      <c r="P99">
        <f t="shared" ca="1" si="22"/>
        <v>-1</v>
      </c>
      <c r="Q99">
        <f t="shared" ca="1" si="17"/>
        <v>2</v>
      </c>
      <c r="R99">
        <f t="shared" ca="1" si="23"/>
        <v>2</v>
      </c>
      <c r="S99">
        <f t="shared" ca="1" si="24"/>
        <v>1</v>
      </c>
      <c r="T99">
        <f t="shared" ca="1" si="18"/>
        <v>1</v>
      </c>
      <c r="U99">
        <f t="shared" ca="1" si="25"/>
        <v>0</v>
      </c>
    </row>
    <row r="100" spans="1:21" x14ac:dyDescent="0.3">
      <c r="A100">
        <v>93</v>
      </c>
      <c r="B100">
        <f t="shared" ca="1" si="13"/>
        <v>0</v>
      </c>
      <c r="C100">
        <f t="shared" ca="1" si="19"/>
        <v>-1</v>
      </c>
      <c r="G100">
        <v>93</v>
      </c>
      <c r="H100">
        <f t="shared" ca="1" si="20"/>
        <v>10</v>
      </c>
      <c r="I100">
        <f t="shared" ca="1" si="14"/>
        <v>1</v>
      </c>
      <c r="J100">
        <f t="shared" ca="1" si="15"/>
        <v>2</v>
      </c>
      <c r="K100">
        <f t="shared" ca="1" si="16"/>
        <v>1</v>
      </c>
      <c r="L100">
        <f t="shared" ca="1" si="21"/>
        <v>11</v>
      </c>
      <c r="N100">
        <v>93</v>
      </c>
      <c r="O100" s="91" t="s">
        <v>38</v>
      </c>
      <c r="P100">
        <f t="shared" ca="1" si="22"/>
        <v>0</v>
      </c>
      <c r="Q100">
        <f t="shared" ca="1" si="17"/>
        <v>0</v>
      </c>
      <c r="R100">
        <f t="shared" ca="1" si="23"/>
        <v>1</v>
      </c>
      <c r="S100">
        <f t="shared" ca="1" si="24"/>
        <v>0</v>
      </c>
      <c r="T100">
        <f t="shared" ca="1" si="18"/>
        <v>0</v>
      </c>
      <c r="U100">
        <f t="shared" ca="1" si="25"/>
        <v>-1</v>
      </c>
    </row>
    <row r="101" spans="1:21" x14ac:dyDescent="0.3">
      <c r="A101">
        <v>94</v>
      </c>
      <c r="B101">
        <f t="shared" ca="1" si="13"/>
        <v>1</v>
      </c>
      <c r="C101">
        <f t="shared" ca="1" si="19"/>
        <v>0</v>
      </c>
      <c r="G101">
        <v>94</v>
      </c>
      <c r="H101">
        <f t="shared" ca="1" si="20"/>
        <v>11</v>
      </c>
      <c r="I101">
        <f t="shared" ca="1" si="14"/>
        <v>2</v>
      </c>
      <c r="J101">
        <f t="shared" ca="1" si="15"/>
        <v>2</v>
      </c>
      <c r="K101">
        <f t="shared" ca="1" si="16"/>
        <v>1</v>
      </c>
      <c r="L101">
        <f t="shared" ca="1" si="21"/>
        <v>12</v>
      </c>
      <c r="N101">
        <v>94</v>
      </c>
      <c r="O101" s="91" t="s">
        <v>39</v>
      </c>
      <c r="P101">
        <f t="shared" ca="1" si="22"/>
        <v>-1</v>
      </c>
      <c r="Q101">
        <f t="shared" ca="1" si="17"/>
        <v>2</v>
      </c>
      <c r="R101">
        <f t="shared" ca="1" si="23"/>
        <v>2</v>
      </c>
      <c r="S101">
        <f t="shared" ca="1" si="24"/>
        <v>1</v>
      </c>
      <c r="T101">
        <f t="shared" ca="1" si="18"/>
        <v>1</v>
      </c>
      <c r="U101">
        <f t="shared" ca="1" si="25"/>
        <v>0</v>
      </c>
    </row>
    <row r="102" spans="1:21" x14ac:dyDescent="0.3">
      <c r="A102">
        <v>95</v>
      </c>
      <c r="B102">
        <f t="shared" ca="1" si="13"/>
        <v>1</v>
      </c>
      <c r="C102">
        <f t="shared" ca="1" si="19"/>
        <v>1</v>
      </c>
      <c r="G102">
        <v>95</v>
      </c>
      <c r="H102">
        <f t="shared" ca="1" si="20"/>
        <v>12</v>
      </c>
      <c r="I102">
        <f t="shared" ca="1" si="14"/>
        <v>0</v>
      </c>
      <c r="J102">
        <f t="shared" ca="1" si="15"/>
        <v>1</v>
      </c>
      <c r="K102">
        <f t="shared" ca="1" si="16"/>
        <v>0</v>
      </c>
      <c r="L102">
        <f t="shared" ca="1" si="21"/>
        <v>11</v>
      </c>
      <c r="N102">
        <v>95</v>
      </c>
      <c r="O102" s="91" t="s">
        <v>39</v>
      </c>
      <c r="P102">
        <f t="shared" ca="1" si="22"/>
        <v>0</v>
      </c>
      <c r="Q102">
        <f t="shared" ca="1" si="17"/>
        <v>0</v>
      </c>
      <c r="R102">
        <f t="shared" ca="1" si="23"/>
        <v>1</v>
      </c>
      <c r="S102">
        <f t="shared" ca="1" si="24"/>
        <v>0</v>
      </c>
      <c r="T102">
        <f t="shared" ca="1" si="18"/>
        <v>0</v>
      </c>
      <c r="U102">
        <f t="shared" ca="1" si="25"/>
        <v>-1</v>
      </c>
    </row>
    <row r="103" spans="1:21" x14ac:dyDescent="0.3">
      <c r="A103">
        <v>96</v>
      </c>
      <c r="B103">
        <f t="shared" ca="1" si="13"/>
        <v>1</v>
      </c>
      <c r="C103">
        <f t="shared" ca="1" si="19"/>
        <v>2</v>
      </c>
      <c r="G103">
        <v>96</v>
      </c>
      <c r="H103">
        <f t="shared" ca="1" si="20"/>
        <v>11</v>
      </c>
      <c r="I103">
        <f t="shared" ca="1" si="14"/>
        <v>2</v>
      </c>
      <c r="J103">
        <f t="shared" ca="1" si="15"/>
        <v>2</v>
      </c>
      <c r="K103">
        <f t="shared" ca="1" si="16"/>
        <v>1</v>
      </c>
      <c r="L103">
        <f t="shared" ca="1" si="21"/>
        <v>12</v>
      </c>
      <c r="N103">
        <v>96</v>
      </c>
      <c r="O103" s="91" t="s">
        <v>38</v>
      </c>
      <c r="P103">
        <f t="shared" ca="1" si="22"/>
        <v>-1</v>
      </c>
      <c r="Q103">
        <f t="shared" ca="1" si="17"/>
        <v>2</v>
      </c>
      <c r="R103">
        <f t="shared" ca="1" si="23"/>
        <v>2</v>
      </c>
      <c r="S103">
        <f t="shared" ca="1" si="24"/>
        <v>1</v>
      </c>
      <c r="T103">
        <f t="shared" ca="1" si="18"/>
        <v>1</v>
      </c>
      <c r="U103">
        <f t="shared" ca="1" si="25"/>
        <v>0</v>
      </c>
    </row>
    <row r="104" spans="1:21" x14ac:dyDescent="0.3">
      <c r="A104">
        <v>97</v>
      </c>
      <c r="B104">
        <f t="shared" ca="1" si="13"/>
        <v>1</v>
      </c>
      <c r="C104">
        <f t="shared" ca="1" si="19"/>
        <v>3</v>
      </c>
      <c r="G104">
        <v>97</v>
      </c>
      <c r="H104">
        <f t="shared" ca="1" si="20"/>
        <v>12</v>
      </c>
      <c r="I104">
        <f ca="1">MOD(H104,3)</f>
        <v>0</v>
      </c>
      <c r="J104">
        <f ca="1">IF(I104=0,1,2)</f>
        <v>1</v>
      </c>
      <c r="K104">
        <f t="shared" ca="1" si="16"/>
        <v>0</v>
      </c>
      <c r="L104">
        <f t="shared" ca="1" si="21"/>
        <v>11</v>
      </c>
      <c r="N104">
        <v>97</v>
      </c>
      <c r="O104" s="91" t="s">
        <v>39</v>
      </c>
      <c r="P104">
        <f t="shared" ca="1" si="22"/>
        <v>0</v>
      </c>
      <c r="Q104">
        <f ca="1">MOD(P104,3)</f>
        <v>0</v>
      </c>
      <c r="R104">
        <f t="shared" ca="1" si="23"/>
        <v>1</v>
      </c>
      <c r="S104">
        <f t="shared" ca="1" si="24"/>
        <v>0</v>
      </c>
      <c r="T104">
        <f ca="1">IF(O104="A",B104,S104)</f>
        <v>0</v>
      </c>
      <c r="U104">
        <f t="shared" ca="1" si="25"/>
        <v>-1</v>
      </c>
    </row>
    <row r="105" spans="1:21" x14ac:dyDescent="0.3">
      <c r="A105">
        <v>98</v>
      </c>
      <c r="B105">
        <f t="shared" ca="1" si="13"/>
        <v>1</v>
      </c>
      <c r="C105">
        <f ca="1">IF(B105=1,1+C104,-1+C104)</f>
        <v>4</v>
      </c>
      <c r="G105">
        <v>98</v>
      </c>
      <c r="H105">
        <f t="shared" ca="1" si="20"/>
        <v>11</v>
      </c>
      <c r="I105">
        <f ca="1">MOD(H105,3)</f>
        <v>2</v>
      </c>
      <c r="J105">
        <f ca="1">IF(I105=0,1,2)</f>
        <v>2</v>
      </c>
      <c r="K105">
        <f t="shared" ca="1" si="16"/>
        <v>1</v>
      </c>
      <c r="L105">
        <f ca="1">IF(K105=1,1+L104,-1+L104)</f>
        <v>12</v>
      </c>
      <c r="N105">
        <v>98</v>
      </c>
      <c r="O105" s="91" t="s">
        <v>39</v>
      </c>
      <c r="P105">
        <f t="shared" ca="1" si="22"/>
        <v>-1</v>
      </c>
      <c r="Q105">
        <f ca="1">MOD(P105,3)</f>
        <v>2</v>
      </c>
      <c r="R105">
        <f ca="1">IF(Q105=0,1,2)</f>
        <v>2</v>
      </c>
      <c r="S105">
        <f t="shared" ca="1" si="24"/>
        <v>0</v>
      </c>
      <c r="T105">
        <f ca="1">IF(O105="A",B105,S105)</f>
        <v>0</v>
      </c>
      <c r="U105">
        <f ca="1">IF(T105=1,1+U104,-1+U104)</f>
        <v>-2</v>
      </c>
    </row>
    <row r="106" spans="1:21" x14ac:dyDescent="0.3">
      <c r="A106">
        <v>99</v>
      </c>
      <c r="B106">
        <f t="shared" ca="1" si="13"/>
        <v>1</v>
      </c>
      <c r="C106">
        <f ca="1">IF(B106=1,1+C105,-1+C105)</f>
        <v>5</v>
      </c>
      <c r="G106">
        <v>99</v>
      </c>
      <c r="H106">
        <f t="shared" ca="1" si="20"/>
        <v>12</v>
      </c>
      <c r="I106">
        <f ca="1">MOD(H106,3)</f>
        <v>0</v>
      </c>
      <c r="J106">
        <f ca="1">IF(I106=0,1,2)</f>
        <v>1</v>
      </c>
      <c r="K106">
        <f t="shared" ca="1" si="16"/>
        <v>0</v>
      </c>
      <c r="L106">
        <f ca="1">IF(K106=1,1+L105,-1+L105)</f>
        <v>11</v>
      </c>
      <c r="N106">
        <v>99</v>
      </c>
      <c r="O106" s="91" t="s">
        <v>38</v>
      </c>
      <c r="P106">
        <f t="shared" ca="1" si="22"/>
        <v>-2</v>
      </c>
      <c r="Q106">
        <f ca="1">MOD(P106,3)</f>
        <v>1</v>
      </c>
      <c r="R106">
        <f ca="1">IF(Q106=0,1,2)</f>
        <v>2</v>
      </c>
      <c r="S106">
        <f t="shared" ca="1" si="24"/>
        <v>0</v>
      </c>
      <c r="T106">
        <f ca="1">IF(O106="A",B106,S106)</f>
        <v>1</v>
      </c>
      <c r="U106">
        <f ca="1">IF(T106=1,1+U105,-1+U105)</f>
        <v>-1</v>
      </c>
    </row>
    <row r="107" spans="1:21" x14ac:dyDescent="0.3">
      <c r="A107">
        <v>100</v>
      </c>
      <c r="B107">
        <f t="shared" ca="1" si="13"/>
        <v>0</v>
      </c>
      <c r="C107">
        <f ca="1">IF(B107=1,1+C106,-1+C106)</f>
        <v>4</v>
      </c>
      <c r="G107">
        <v>100</v>
      </c>
      <c r="H107">
        <f t="shared" ca="1" si="20"/>
        <v>11</v>
      </c>
      <c r="I107">
        <f ca="1">MOD(H107,3)</f>
        <v>2</v>
      </c>
      <c r="J107">
        <f ca="1">IF(I107=0,1,2)</f>
        <v>2</v>
      </c>
      <c r="K107">
        <f t="shared" ca="1" si="16"/>
        <v>0</v>
      </c>
      <c r="L107">
        <f ca="1">IF(K107=1,1+L106,-1+L106)</f>
        <v>10</v>
      </c>
      <c r="N107">
        <v>100</v>
      </c>
      <c r="O107" s="91" t="s">
        <v>39</v>
      </c>
      <c r="P107">
        <f t="shared" ca="1" si="22"/>
        <v>-1</v>
      </c>
      <c r="Q107">
        <f ca="1">MOD(P107,3)</f>
        <v>2</v>
      </c>
      <c r="R107">
        <f ca="1">IF(Q107=0,1,2)</f>
        <v>2</v>
      </c>
      <c r="S107">
        <f t="shared" ca="1" si="24"/>
        <v>1</v>
      </c>
      <c r="T107">
        <f ca="1">IF(O107="A",B107,S107)</f>
        <v>1</v>
      </c>
      <c r="U107">
        <f ca="1">IF(T107=1,1+U106,-1+U106)</f>
        <v>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0753" r:id="rId4" name="Button 1">
              <controlPr defaultSize="0" print="0" autoFill="0" autoPict="0">
                <anchor>
                  <from>
                    <xdr:col>4</xdr:col>
                    <xdr:colOff>22860</xdr:colOff>
                    <xdr:row>0</xdr:row>
                    <xdr:rowOff>45720</xdr:rowOff>
                  </from>
                  <to>
                    <xdr:col>4</xdr:col>
                    <xdr:colOff>769620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761" r:id="rId5" name="Button 9">
              <controlPr defaultSize="0" print="0" autoFill="0" autoPict="0">
                <anchor>
                  <from>
                    <xdr:col>14</xdr:col>
                    <xdr:colOff>22860</xdr:colOff>
                    <xdr:row>1</xdr:row>
                    <xdr:rowOff>228600</xdr:rowOff>
                  </from>
                  <to>
                    <xdr:col>14</xdr:col>
                    <xdr:colOff>769620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N104"/>
  <sheetViews>
    <sheetView workbookViewId="0">
      <pane ySplit="4" topLeftCell="A5" activePane="bottomLeft" state="frozen"/>
      <selection activeCell="O8" sqref="O8"/>
      <selection pane="bottomLeft" activeCell="O8" sqref="O8"/>
    </sheetView>
  </sheetViews>
  <sheetFormatPr defaultRowHeight="14.4" x14ac:dyDescent="0.3"/>
  <cols>
    <col min="4" max="4" width="9.33203125" style="84" customWidth="1"/>
    <col min="5" max="8" width="9.33203125" style="80" customWidth="1"/>
    <col min="10" max="10" width="11.6640625" customWidth="1"/>
    <col min="14" max="14" width="9.33203125" bestFit="1" customWidth="1"/>
  </cols>
  <sheetData>
    <row r="1" spans="1:10" x14ac:dyDescent="0.3">
      <c r="A1" s="46" t="s">
        <v>32</v>
      </c>
    </row>
    <row r="2" spans="1:10" x14ac:dyDescent="0.3">
      <c r="I2" t="s">
        <v>34</v>
      </c>
      <c r="J2" s="78">
        <v>0</v>
      </c>
    </row>
    <row r="3" spans="1:10" x14ac:dyDescent="0.3">
      <c r="A3" t="s">
        <v>13</v>
      </c>
      <c r="B3" s="78">
        <v>5.0000000000000001E-3</v>
      </c>
      <c r="E3" s="105" t="s">
        <v>33</v>
      </c>
      <c r="F3" s="105"/>
      <c r="G3" s="105"/>
      <c r="J3" s="74"/>
    </row>
    <row r="4" spans="1:10" x14ac:dyDescent="0.3">
      <c r="A4" t="s">
        <v>35</v>
      </c>
      <c r="D4" s="84" t="s">
        <v>4</v>
      </c>
      <c r="E4" s="77">
        <v>0</v>
      </c>
      <c r="F4" s="77">
        <v>1</v>
      </c>
      <c r="G4" s="77">
        <v>2</v>
      </c>
      <c r="I4" s="77" t="s">
        <v>5</v>
      </c>
      <c r="J4" s="76" t="s">
        <v>31</v>
      </c>
    </row>
    <row r="5" spans="1:10" x14ac:dyDescent="0.3">
      <c r="D5" s="84" t="s">
        <v>38</v>
      </c>
      <c r="E5" s="79">
        <f>IF(MOD($J$2,3)=0,1,0)</f>
        <v>1</v>
      </c>
      <c r="F5" s="79">
        <f>IF(MOD($J$2,3)=1,1,0)</f>
        <v>0</v>
      </c>
      <c r="G5" s="79">
        <f>IF(MOD($J$2,3)=2,1,0)</f>
        <v>0</v>
      </c>
      <c r="I5" s="80">
        <v>1</v>
      </c>
      <c r="J5" s="74">
        <f>IF(D5="A",E5*($B$6-$C$6)+F5*($C$7-$A$7)+G5*($A$8-$B$8),E5*($B$12-$C$12)+F5*($C$13-$A$13)+G5*($A$14-$B$14))+J2</f>
        <v>-1.0000000000000009E-2</v>
      </c>
    </row>
    <row r="6" spans="1:10" x14ac:dyDescent="0.3">
      <c r="A6" s="80">
        <v>0</v>
      </c>
      <c r="B6" s="80">
        <f>0.5-B3</f>
        <v>0.495</v>
      </c>
      <c r="C6" s="80">
        <f>0.5+B3</f>
        <v>0.505</v>
      </c>
      <c r="D6" s="84" t="s">
        <v>39</v>
      </c>
      <c r="E6" s="80">
        <f t="array" ref="E6:G6">IF(D5="A",MMULT(E5:G5,$A$6:$C$8),MMULT(E5:G5,$A$12:$C$14))</f>
        <v>0</v>
      </c>
      <c r="F6" s="80">
        <v>0.495</v>
      </c>
      <c r="G6" s="80">
        <v>0.505</v>
      </c>
      <c r="I6" s="80">
        <v>2</v>
      </c>
      <c r="J6" s="74">
        <f>IF(D6="A",E6*($B$6-$C$6)+F6*($C$7-$A$7)+G6*($A$8-$B$8),E6*($B$12-$C$12)+F6*($C$13-$A$13)+G6*($A$14-$B$14))+J5</f>
        <v>0.48</v>
      </c>
    </row>
    <row r="7" spans="1:10" x14ac:dyDescent="0.3">
      <c r="A7" s="80">
        <f>0.5+B3</f>
        <v>0.505</v>
      </c>
      <c r="B7" s="80">
        <v>0</v>
      </c>
      <c r="C7" s="80">
        <f>0.5-B3</f>
        <v>0.495</v>
      </c>
      <c r="D7" s="84" t="s">
        <v>38</v>
      </c>
      <c r="E7" s="80">
        <f t="array" ref="E7:G7">IF(D6="A",MMULT(E6:G6,$A$6:$C$8),MMULT(E6:G6,$A$12:$C$14))</f>
        <v>0.50244999999999995</v>
      </c>
      <c r="F7" s="80">
        <v>0.128775</v>
      </c>
      <c r="G7" s="80">
        <v>0.36877500000000002</v>
      </c>
      <c r="I7" s="80">
        <v>3</v>
      </c>
      <c r="J7" s="74">
        <f t="shared" ref="J7:J70" si="0">IF(D7="A",E7*($B$6-$C$6)+F7*($C$7-$A$7)+G7*($A$8-$B$8),E7*($B$12-$C$12)+F7*($C$13-$A$13)+G7*($A$14-$B$14))+J6</f>
        <v>0.47</v>
      </c>
    </row>
    <row r="8" spans="1:10" x14ac:dyDescent="0.3">
      <c r="A8" s="80">
        <f>0.5-B3</f>
        <v>0.495</v>
      </c>
      <c r="B8" s="80">
        <f>0.5+B3</f>
        <v>0.505</v>
      </c>
      <c r="C8" s="80">
        <v>0</v>
      </c>
      <c r="D8" s="84" t="s">
        <v>39</v>
      </c>
      <c r="E8" s="80">
        <f t="array" ref="E8:G8">IF(D7="A",MMULT(E7:G7,$A$6:$C$8),MMULT(E7:G7,$A$12:$C$14))</f>
        <v>0.24757500000000002</v>
      </c>
      <c r="F8" s="80">
        <v>0.43494412500000001</v>
      </c>
      <c r="G8" s="80">
        <v>0.317480875</v>
      </c>
      <c r="I8" s="80">
        <v>4</v>
      </c>
      <c r="J8" s="74">
        <f t="shared" si="0"/>
        <v>0.6381524999999999</v>
      </c>
    </row>
    <row r="9" spans="1:10" x14ac:dyDescent="0.3">
      <c r="D9" s="84" t="s">
        <v>39</v>
      </c>
      <c r="E9" s="80">
        <f t="array" ref="E9:G9">IF(D8="A",MMULT(E8:G8,$A$6:$C$8),MMULT(E8:G8,$A$12:$C$14))</f>
        <v>0.34743400375</v>
      </c>
      <c r="F9" s="80">
        <v>0.10447724812500001</v>
      </c>
      <c r="G9" s="80">
        <v>0.54808874812500008</v>
      </c>
      <c r="I9" s="80">
        <v>5</v>
      </c>
      <c r="J9" s="74">
        <f t="shared" si="0"/>
        <v>0.67648829512499997</v>
      </c>
    </row>
    <row r="10" spans="1:10" x14ac:dyDescent="0.3">
      <c r="A10" t="s">
        <v>36</v>
      </c>
      <c r="D10" s="84" t="s">
        <v>38</v>
      </c>
      <c r="E10" s="80">
        <f t="array" ref="E10:G10">IF(D9="A",MMULT(E9:G9,$A$6:$C$8),MMULT(E9:G9,$A$12:$C$14))</f>
        <v>0.43496781562500009</v>
      </c>
      <c r="F10" s="80">
        <v>0.17276886112812503</v>
      </c>
      <c r="G10" s="80">
        <v>0.39226332324687502</v>
      </c>
      <c r="I10" s="80">
        <v>6</v>
      </c>
      <c r="J10" s="74">
        <f t="shared" si="0"/>
        <v>0.66648829512499996</v>
      </c>
    </row>
    <row r="11" spans="1:10" x14ac:dyDescent="0.3">
      <c r="D11" s="84" t="s">
        <v>39</v>
      </c>
      <c r="E11" s="80">
        <f t="array" ref="E11:G11">IF(D10="A",MMULT(E10:G10,$A$6:$C$8),MMULT(E10:G10,$A$12:$C$14))</f>
        <v>0.28141861987690625</v>
      </c>
      <c r="F11" s="80">
        <v>0.41340204697404692</v>
      </c>
      <c r="G11" s="80">
        <v>0.30517933314904694</v>
      </c>
      <c r="I11" s="80">
        <v>7</v>
      </c>
      <c r="J11" s="74">
        <f t="shared" si="0"/>
        <v>0.79064408928502183</v>
      </c>
    </row>
    <row r="12" spans="1:10" x14ac:dyDescent="0.3">
      <c r="A12" s="80">
        <v>0</v>
      </c>
      <c r="B12" s="80">
        <f>0.1-B3</f>
        <v>9.5000000000000001E-2</v>
      </c>
      <c r="C12" s="80">
        <f>0.9+B3</f>
        <v>0.90500000000000003</v>
      </c>
      <c r="D12" s="84" t="s">
        <v>39</v>
      </c>
      <c r="E12" s="80">
        <f t="array" ref="E12:G12">IF(D11="A",MMULT(E11:G11,$A$6:$C$8),MMULT(E11:G11,$A$12:$C$14))</f>
        <v>0.3327761251744219</v>
      </c>
      <c r="F12" s="80">
        <v>0.10455549884131307</v>
      </c>
      <c r="G12" s="80">
        <v>0.56266837598426522</v>
      </c>
      <c r="I12" s="80">
        <v>8</v>
      </c>
      <c r="J12" s="74">
        <f t="shared" si="0"/>
        <v>0.84803512655827351</v>
      </c>
    </row>
    <row r="13" spans="1:10" x14ac:dyDescent="0.3">
      <c r="A13" s="80">
        <f>0.25+B3</f>
        <v>0.255</v>
      </c>
      <c r="B13" s="80">
        <v>0</v>
      </c>
      <c r="C13" s="80">
        <f>0.75-B3</f>
        <v>0.745</v>
      </c>
      <c r="D13" s="84" t="s">
        <v>38</v>
      </c>
      <c r="E13" s="80">
        <f t="array" ref="E13:G13">IF(D12="A",MMULT(E12:G12,$A$6:$C$8),MMULT(E12:G12,$A$12:$C$14))</f>
        <v>0.4458495923128124</v>
      </c>
      <c r="F13" s="80">
        <v>0.17509416776755771</v>
      </c>
      <c r="G13" s="80">
        <v>0.37905623991963006</v>
      </c>
      <c r="I13" s="80">
        <v>9</v>
      </c>
      <c r="J13" s="74">
        <f t="shared" si="0"/>
        <v>0.8380351265582735</v>
      </c>
    </row>
    <row r="14" spans="1:10" x14ac:dyDescent="0.3">
      <c r="A14" s="80">
        <f>0.75-B3</f>
        <v>0.745</v>
      </c>
      <c r="B14" s="80">
        <f>0.25+B3</f>
        <v>0.255</v>
      </c>
      <c r="C14" s="80">
        <v>0</v>
      </c>
      <c r="D14" s="84" t="s">
        <v>39</v>
      </c>
      <c r="E14" s="80">
        <f t="array" ref="E14:G14">IF(D13="A",MMULT(E13:G13,$A$6:$C$8),MMULT(E13:G13,$A$12:$C$14))</f>
        <v>0.27605539348283353</v>
      </c>
      <c r="F14" s="80">
        <v>0.4121189493542553</v>
      </c>
      <c r="G14" s="80">
        <v>0.31182565716291133</v>
      </c>
      <c r="I14" s="80">
        <v>10</v>
      </c>
      <c r="J14" s="74">
        <f t="shared" si="0"/>
        <v>0.96916311503058994</v>
      </c>
    </row>
    <row r="15" spans="1:10" x14ac:dyDescent="0.3">
      <c r="D15" s="84" t="s">
        <v>39</v>
      </c>
      <c r="E15" s="80">
        <f t="array" ref="E15:G15">IF(D14="A",MMULT(E14:G14,$A$6:$C$8),MMULT(E14:G14,$A$12:$C$14))</f>
        <v>0.33740044667170405</v>
      </c>
      <c r="F15" s="80">
        <v>0.10574080495741157</v>
      </c>
      <c r="G15" s="80">
        <v>0.55685874837088456</v>
      </c>
      <c r="I15" s="80">
        <v>11</v>
      </c>
      <c r="J15" s="74">
        <f t="shared" si="0"/>
        <v>1.0205425343573746</v>
      </c>
    </row>
    <row r="16" spans="1:10" x14ac:dyDescent="0.3">
      <c r="D16" s="84" t="s">
        <v>38</v>
      </c>
      <c r="E16" s="80">
        <f t="array" ref="E16:G16">IF(D15="A",MMULT(E15:G15,$A$6:$C$8),MMULT(E15:G15,$A$12:$C$14))</f>
        <v>0.44182367280044893</v>
      </c>
      <c r="F16" s="80">
        <v>0.17405202326838745</v>
      </c>
      <c r="G16" s="80">
        <v>0.38412430393116381</v>
      </c>
      <c r="I16" s="80">
        <v>12</v>
      </c>
      <c r="J16" s="74">
        <f t="shared" si="0"/>
        <v>1.0105425343573746</v>
      </c>
    </row>
    <row r="17" spans="4:14" x14ac:dyDescent="0.3">
      <c r="D17" s="84" t="s">
        <v>39</v>
      </c>
      <c r="E17" s="80">
        <f t="array" ref="E17:G17">IF(D16="A",MMULT(E16:G16,$A$6:$C$8),MMULT(E16:G16,$A$12:$C$14))</f>
        <v>0.27803780219646174</v>
      </c>
      <c r="F17" s="80">
        <v>0.41268549152145995</v>
      </c>
      <c r="G17" s="80">
        <v>0.30927670628207848</v>
      </c>
      <c r="I17" s="80">
        <v>13</v>
      </c>
      <c r="J17" s="74">
        <f t="shared" si="0"/>
        <v>1.1390933915019743</v>
      </c>
    </row>
    <row r="18" spans="4:14" x14ac:dyDescent="0.3">
      <c r="D18" s="84" t="s">
        <v>39</v>
      </c>
      <c r="E18" s="80">
        <f t="array" ref="E18:G18">IF(D17="A",MMULT(E17:G17,$A$6:$C$8),MMULT(E17:G17,$A$12:$C$14))</f>
        <v>0.33564594651812074</v>
      </c>
      <c r="F18" s="80">
        <v>0.10527915131059389</v>
      </c>
      <c r="G18" s="80">
        <v>0.55907490217128553</v>
      </c>
      <c r="I18" s="80">
        <v>14</v>
      </c>
      <c r="J18" s="74">
        <f t="shared" si="0"/>
        <v>1.1927536610284173</v>
      </c>
    </row>
    <row r="19" spans="4:14" x14ac:dyDescent="0.3">
      <c r="D19" s="84" t="s">
        <v>38</v>
      </c>
      <c r="E19" s="80">
        <f t="array" ref="E19:G19">IF(D18="A",MMULT(E18:G18,$A$6:$C$8),MMULT(E18:G18,$A$12:$C$14))</f>
        <v>0.44335698570180915</v>
      </c>
      <c r="F19" s="80">
        <v>0.17445046497289929</v>
      </c>
      <c r="G19" s="80">
        <v>0.38219254932529168</v>
      </c>
      <c r="I19" s="80">
        <v>15</v>
      </c>
      <c r="J19" s="74">
        <f t="shared" si="0"/>
        <v>1.1827536610284173</v>
      </c>
    </row>
    <row r="20" spans="4:14" x14ac:dyDescent="0.3">
      <c r="D20" s="84" t="s">
        <v>39</v>
      </c>
      <c r="E20" s="80">
        <f t="array" ref="E20:G20">IF(D19="A",MMULT(E19:G19,$A$6:$C$8),MMULT(E19:G19,$A$12:$C$14))</f>
        <v>0.27728279672733352</v>
      </c>
      <c r="F20" s="80">
        <v>0.41246894533166784</v>
      </c>
      <c r="G20" s="80">
        <v>0.31024825794099875</v>
      </c>
      <c r="I20" s="80">
        <v>16</v>
      </c>
      <c r="J20" s="74">
        <f t="shared" si="0"/>
        <v>1.3122860252828836</v>
      </c>
      <c r="N20" s="74"/>
    </row>
    <row r="21" spans="4:14" x14ac:dyDescent="0.3">
      <c r="D21" s="84" t="s">
        <v>39</v>
      </c>
      <c r="E21" s="80">
        <f t="array" ref="E21:G21">IF(D20="A",MMULT(E20:G20,$A$6:$C$8),MMULT(E20:G20,$A$12:$C$14))</f>
        <v>0.33631453322561938</v>
      </c>
      <c r="F21" s="80">
        <v>0.10545517146405137</v>
      </c>
      <c r="G21" s="80">
        <v>0.55823029531032931</v>
      </c>
      <c r="I21" s="80">
        <v>17</v>
      </c>
      <c r="J21" s="74">
        <f t="shared" si="0"/>
        <v>1.3650771320895785</v>
      </c>
      <c r="M21" t="s">
        <v>40</v>
      </c>
      <c r="N21" s="74">
        <f>J104</f>
        <v>6.1362268993107882</v>
      </c>
    </row>
    <row r="22" spans="4:14" x14ac:dyDescent="0.3">
      <c r="D22" s="84" t="s">
        <v>38</v>
      </c>
      <c r="E22" s="80">
        <f t="array" ref="E22:G22">IF(D21="A",MMULT(E21:G21,$A$6:$C$8),MMULT(E21:G21,$A$12:$C$14))</f>
        <v>0.44277263872952843</v>
      </c>
      <c r="F22" s="80">
        <v>0.17429860596056782</v>
      </c>
      <c r="G22" s="80">
        <v>0.38292875530990378</v>
      </c>
      <c r="I22" s="80">
        <v>18</v>
      </c>
      <c r="J22" s="74">
        <f t="shared" si="0"/>
        <v>1.3550771320895785</v>
      </c>
    </row>
    <row r="23" spans="4:14" x14ac:dyDescent="0.3">
      <c r="D23" s="84" t="s">
        <v>39</v>
      </c>
      <c r="E23" s="80">
        <f t="array" ref="E23:G23">IF(D22="A",MMULT(E22:G22,$A$6:$C$8),MMULT(E22:G22,$A$12:$C$14))</f>
        <v>0.27757052988848913</v>
      </c>
      <c r="F23" s="80">
        <v>0.41255147760261801</v>
      </c>
      <c r="G23" s="80">
        <v>0.30987799250889292</v>
      </c>
      <c r="I23" s="80">
        <v>19</v>
      </c>
      <c r="J23" s="74">
        <f t="shared" si="0"/>
        <v>1.4842354432345426</v>
      </c>
    </row>
    <row r="24" spans="4:14" x14ac:dyDescent="0.3">
      <c r="D24" s="84" t="s">
        <v>39</v>
      </c>
      <c r="E24" s="80">
        <f t="array" ref="E24:G24">IF(D23="A",MMULT(E23:G23,$A$6:$C$8),MMULT(E23:G23,$A$12:$C$14))</f>
        <v>0.33605973120779281</v>
      </c>
      <c r="F24" s="80">
        <v>0.10538808842917416</v>
      </c>
      <c r="G24" s="80">
        <v>0.55855218036303311</v>
      </c>
      <c r="I24" s="80">
        <v>20</v>
      </c>
      <c r="J24" s="74">
        <f t="shared" si="0"/>
        <v>1.537357792664412</v>
      </c>
    </row>
    <row r="25" spans="4:14" x14ac:dyDescent="0.3">
      <c r="D25" s="84" t="s">
        <v>38</v>
      </c>
      <c r="E25" s="80">
        <f t="array" ref="E25:G25">IF(D24="A",MMULT(E24:G24,$A$6:$C$8),MMULT(E24:G24,$A$12:$C$14))</f>
        <v>0.44299533691989906</v>
      </c>
      <c r="F25" s="80">
        <v>0.17435648045731375</v>
      </c>
      <c r="G25" s="80">
        <v>0.38264818262278721</v>
      </c>
      <c r="I25" s="80">
        <v>21</v>
      </c>
      <c r="J25" s="82">
        <f t="shared" si="0"/>
        <v>1.527357792664412</v>
      </c>
    </row>
    <row r="26" spans="4:14" x14ac:dyDescent="0.3">
      <c r="D26" s="84" t="s">
        <v>39</v>
      </c>
      <c r="E26" s="80">
        <f t="array" ref="E26:G26">IF(D25="A",MMULT(E25:G25,$A$6:$C$8),MMULT(E25:G25,$A$12:$C$14))</f>
        <v>0.27746087302922312</v>
      </c>
      <c r="F26" s="80">
        <v>0.41252002399985754</v>
      </c>
      <c r="G26" s="80">
        <v>0.31001910297091934</v>
      </c>
      <c r="I26" s="80">
        <v>22</v>
      </c>
      <c r="J26" s="74">
        <f t="shared" si="0"/>
        <v>1.656658657726422</v>
      </c>
    </row>
    <row r="27" spans="4:14" x14ac:dyDescent="0.3">
      <c r="D27" s="84" t="s">
        <v>39</v>
      </c>
      <c r="E27" s="80">
        <f t="array" ref="E27:G27">IF(D26="A",MMULT(E26:G26,$A$6:$C$8),MMULT(E26:G26,$A$12:$C$14))</f>
        <v>0.33615683783329858</v>
      </c>
      <c r="F27" s="80">
        <v>0.10541365419536064</v>
      </c>
      <c r="G27" s="80">
        <v>0.55842950797134083</v>
      </c>
      <c r="I27" s="80">
        <v>23</v>
      </c>
      <c r="J27" s="74">
        <f t="shared" si="0"/>
        <v>1.7096547685431338</v>
      </c>
    </row>
    <row r="28" spans="4:14" x14ac:dyDescent="0.3">
      <c r="D28" s="84" t="s">
        <v>38</v>
      </c>
      <c r="E28" s="80">
        <f t="array" ref="E28:G28">IF(D27="A",MMULT(E27:G27,$A$6:$C$8),MMULT(E27:G27,$A$12:$C$14))</f>
        <v>0.44291046525846589</v>
      </c>
      <c r="F28" s="80">
        <v>0.17433442412685529</v>
      </c>
      <c r="G28" s="80">
        <v>0.38275511061467893</v>
      </c>
      <c r="I28" s="80">
        <v>24</v>
      </c>
      <c r="J28" s="74">
        <f t="shared" si="0"/>
        <v>1.6996547685431338</v>
      </c>
    </row>
    <row r="29" spans="4:14" x14ac:dyDescent="0.3">
      <c r="D29" s="84" t="s">
        <v>39</v>
      </c>
      <c r="E29" s="80">
        <f t="array" ref="E29:G29">IF(D28="A",MMULT(E28:G28,$A$6:$C$8),MMULT(E28:G28,$A$12:$C$14))</f>
        <v>0.27750266393832801</v>
      </c>
      <c r="F29" s="80">
        <v>0.41253201116335347</v>
      </c>
      <c r="G29" s="80">
        <v>0.30996532489831863</v>
      </c>
      <c r="I29" s="80">
        <v>25</v>
      </c>
      <c r="J29" s="74">
        <f t="shared" si="0"/>
        <v>1.8289013054233074</v>
      </c>
    </row>
    <row r="30" spans="4:14" x14ac:dyDescent="0.3">
      <c r="D30" s="84" t="s">
        <v>39</v>
      </c>
      <c r="E30" s="80">
        <f t="array" ref="E30:G30">IF(D29="A",MMULT(E29:G29,$A$6:$C$8),MMULT(E29:G29,$A$12:$C$14))</f>
        <v>0.3361198298959025</v>
      </c>
      <c r="F30" s="80">
        <v>0.10540391092321241</v>
      </c>
      <c r="G30" s="80">
        <v>0.55847625918088517</v>
      </c>
      <c r="I30" s="80">
        <v>26</v>
      </c>
      <c r="J30" s="74">
        <f t="shared" si="0"/>
        <v>1.8819455265586342</v>
      </c>
    </row>
    <row r="31" spans="4:14" x14ac:dyDescent="0.3">
      <c r="D31" s="84" t="s">
        <v>38</v>
      </c>
      <c r="E31" s="80">
        <f t="array" ref="E31:G31">IF(D30="A",MMULT(E30:G30,$A$6:$C$8),MMULT(E30:G30,$A$12:$C$14))</f>
        <v>0.44294281037517863</v>
      </c>
      <c r="F31" s="80">
        <v>0.17434282993123645</v>
      </c>
      <c r="G31" s="80">
        <v>0.38271435969358503</v>
      </c>
      <c r="I31" s="80">
        <v>27</v>
      </c>
      <c r="J31" s="74">
        <f t="shared" si="0"/>
        <v>1.8719455265586342</v>
      </c>
    </row>
    <row r="32" spans="4:14" x14ac:dyDescent="0.3">
      <c r="D32" s="84" t="s">
        <v>39</v>
      </c>
      <c r="E32" s="80">
        <f t="array" ref="E32:G32">IF(D31="A",MMULT(E31:G31,$A$6:$C$8),MMULT(E31:G31,$A$12:$C$14))</f>
        <v>0.27748673716359901</v>
      </c>
      <c r="F32" s="80">
        <v>0.41252744278097386</v>
      </c>
      <c r="G32" s="80">
        <v>0.30998582005542724</v>
      </c>
      <c r="I32" s="80">
        <v>28</v>
      </c>
      <c r="J32" s="74">
        <f t="shared" si="0"/>
        <v>2.0012127682459555</v>
      </c>
    </row>
    <row r="33" spans="4:10" x14ac:dyDescent="0.3">
      <c r="D33" s="84" t="s">
        <v>39</v>
      </c>
      <c r="E33" s="80">
        <f t="array" ref="E33:G33">IF(D32="A",MMULT(E32:G32,$A$6:$C$8),MMULT(E32:G32,$A$12:$C$14))</f>
        <v>0.33613393385044166</v>
      </c>
      <c r="F33" s="80">
        <v>0.10540762414467586</v>
      </c>
      <c r="G33" s="80">
        <v>0.55845844200488259</v>
      </c>
      <c r="I33" s="80">
        <v>29</v>
      </c>
      <c r="J33" s="74">
        <f t="shared" si="0"/>
        <v>2.0542386542403812</v>
      </c>
    </row>
    <row r="34" spans="4:10" x14ac:dyDescent="0.3">
      <c r="D34" s="84" t="s">
        <v>38</v>
      </c>
      <c r="E34" s="80">
        <f t="array" ref="E34:G34">IF(D33="A",MMULT(E33:G33,$A$6:$C$8),MMULT(E33:G33,$A$12:$C$14))</f>
        <v>0.44293048345052988</v>
      </c>
      <c r="F34" s="80">
        <v>0.17433962642703701</v>
      </c>
      <c r="G34" s="80">
        <v>0.38272989012243325</v>
      </c>
      <c r="I34" s="80">
        <v>30</v>
      </c>
      <c r="J34" s="74">
        <f t="shared" si="0"/>
        <v>2.044238654240381</v>
      </c>
    </row>
    <row r="35" spans="4:10" x14ac:dyDescent="0.3">
      <c r="D35" s="84" t="s">
        <v>39</v>
      </c>
      <c r="E35" s="80">
        <f t="array" ref="E35:G35">IF(D34="A",MMULT(E34:G34,$A$6:$C$8),MMULT(E34:G34,$A$12:$C$14))</f>
        <v>0.27749280695625811</v>
      </c>
      <c r="F35" s="80">
        <v>0.41252918381984105</v>
      </c>
      <c r="G35" s="80">
        <v>0.30997800922390095</v>
      </c>
      <c r="I35" s="80">
        <v>31</v>
      </c>
      <c r="J35" s="74">
        <f t="shared" si="0"/>
        <v>2.1734980051972457</v>
      </c>
    </row>
    <row r="36" spans="4:10" x14ac:dyDescent="0.3">
      <c r="D36" s="84" t="s">
        <v>39</v>
      </c>
      <c r="E36" s="80">
        <f t="array" ref="E36:G36">IF(D35="A",MMULT(E35:G35,$A$6:$C$8),MMULT(E35:G35,$A$12:$C$14))</f>
        <v>0.33612855874586567</v>
      </c>
      <c r="F36" s="80">
        <v>0.10540620901293926</v>
      </c>
      <c r="G36" s="80">
        <v>0.55846523224119515</v>
      </c>
      <c r="I36" s="80">
        <v>32</v>
      </c>
      <c r="J36" s="74">
        <f t="shared" si="0"/>
        <v>2.2265308788276204</v>
      </c>
    </row>
    <row r="37" spans="4:10" x14ac:dyDescent="0.3">
      <c r="D37" s="84" t="s">
        <v>38</v>
      </c>
      <c r="E37" s="80">
        <f t="array" ref="E37:G37">IF(D36="A",MMULT(E36:G36,$A$6:$C$8),MMULT(E36:G36,$A$12:$C$14))</f>
        <v>0.44293518131798987</v>
      </c>
      <c r="F37" s="80">
        <v>0.17434084730236199</v>
      </c>
      <c r="G37" s="80">
        <v>0.3827239713796482</v>
      </c>
      <c r="I37" s="80">
        <v>33</v>
      </c>
      <c r="J37" s="74">
        <f t="shared" si="0"/>
        <v>2.2165308788276201</v>
      </c>
    </row>
    <row r="38" spans="4:10" x14ac:dyDescent="0.3">
      <c r="D38" s="84" t="s">
        <v>39</v>
      </c>
      <c r="E38" s="80">
        <f t="array" ref="E38:G38">IF(D37="A",MMULT(E37:G37,$A$6:$C$8),MMULT(E37:G37,$A$12:$C$14))</f>
        <v>0.27749049372061863</v>
      </c>
      <c r="F38" s="80">
        <v>0.41252852029912734</v>
      </c>
      <c r="G38" s="80">
        <v>0.30998098598025403</v>
      </c>
      <c r="I38" s="80">
        <v>34</v>
      </c>
      <c r="J38" s="74">
        <f t="shared" si="0"/>
        <v>2.3457932369908159</v>
      </c>
    </row>
    <row r="39" spans="4:10" x14ac:dyDescent="0.3">
      <c r="D39" s="84" t="s">
        <v>39</v>
      </c>
      <c r="E39" s="80">
        <f t="array" ref="E39:G39">IF(D38="A",MMULT(E38:G38,$A$6:$C$8),MMULT(E38:G38,$A$12:$C$14))</f>
        <v>0.33613060723156674</v>
      </c>
      <c r="F39" s="80">
        <v>0.10540674832842355</v>
      </c>
      <c r="G39" s="80">
        <v>0.55846264444000981</v>
      </c>
      <c r="I39" s="80">
        <v>35</v>
      </c>
      <c r="J39" s="74">
        <f t="shared" si="0"/>
        <v>2.3988234475897792</v>
      </c>
    </row>
    <row r="40" spans="4:10" x14ac:dyDescent="0.3">
      <c r="D40" s="84" t="s">
        <v>38</v>
      </c>
      <c r="E40" s="80">
        <f t="array" ref="E40:G40">IF(D39="A",MMULT(E39:G39,$A$6:$C$8),MMULT(E39:G39,$A$12:$C$14))</f>
        <v>0.44293339093155532</v>
      </c>
      <c r="F40" s="80">
        <v>0.17434038201920135</v>
      </c>
      <c r="G40" s="80">
        <v>0.38272622704924342</v>
      </c>
      <c r="I40" s="80">
        <v>36</v>
      </c>
      <c r="J40" s="74">
        <f t="shared" si="0"/>
        <v>2.3888234475897789</v>
      </c>
    </row>
    <row r="41" spans="4:10" x14ac:dyDescent="0.3">
      <c r="D41" s="84" t="s">
        <v>39</v>
      </c>
      <c r="E41" s="80">
        <f t="array" ref="E41:G41">IF(D40="A",MMULT(E40:G40,$A$6:$C$8),MMULT(E40:G40,$A$12:$C$14))</f>
        <v>0.27749137530907214</v>
      </c>
      <c r="F41" s="80">
        <v>0.41252877317098779</v>
      </c>
      <c r="G41" s="80">
        <v>0.30997985151994012</v>
      </c>
      <c r="I41" s="80">
        <v>37</v>
      </c>
      <c r="J41" s="74">
        <f t="shared" si="0"/>
        <v>2.5180846596879851</v>
      </c>
    </row>
    <row r="42" spans="4:10" x14ac:dyDescent="0.3">
      <c r="D42" s="84" t="s">
        <v>39</v>
      </c>
      <c r="E42" s="80">
        <f t="array" ref="E42:G42">IF(D41="A",MMULT(E41:G41,$A$6:$C$8),MMULT(E41:G41,$A$12:$C$14))</f>
        <v>0.33612982654095724</v>
      </c>
      <c r="F42" s="80">
        <v>0.10540654279194658</v>
      </c>
      <c r="G42" s="80">
        <v>0.55846363066709626</v>
      </c>
      <c r="I42" s="80">
        <v>38</v>
      </c>
      <c r="J42" s="74">
        <f t="shared" si="0"/>
        <v>2.5711158851847409</v>
      </c>
    </row>
    <row r="43" spans="4:10" x14ac:dyDescent="0.3">
      <c r="D43" s="84" t="s">
        <v>38</v>
      </c>
      <c r="E43" s="80">
        <f t="array" ref="E43:G43">IF(D42="A",MMULT(E42:G42,$A$6:$C$8),MMULT(E42:G42,$A$12:$C$14))</f>
        <v>0.44293407325893308</v>
      </c>
      <c r="F43" s="80">
        <v>0.17434055934150047</v>
      </c>
      <c r="G43" s="80">
        <v>0.38272536739956653</v>
      </c>
      <c r="I43" s="80">
        <v>39</v>
      </c>
      <c r="J43" s="74">
        <f t="shared" si="0"/>
        <v>2.5611158851847406</v>
      </c>
    </row>
    <row r="44" spans="4:10" x14ac:dyDescent="0.3">
      <c r="D44" s="84" t="s">
        <v>39</v>
      </c>
      <c r="E44" s="80">
        <f t="array" ref="E44:G44">IF(D43="A",MMULT(E43:G43,$A$6:$C$8),MMULT(E43:G43,$A$12:$C$14))</f>
        <v>0.27749103933024316</v>
      </c>
      <c r="F44" s="80">
        <v>0.41252867679995298</v>
      </c>
      <c r="G44" s="80">
        <v>0.30998028386980392</v>
      </c>
      <c r="I44" s="80">
        <v>40</v>
      </c>
      <c r="J44" s="74">
        <f t="shared" si="0"/>
        <v>2.6903775340554246</v>
      </c>
    </row>
    <row r="45" spans="4:10" x14ac:dyDescent="0.3">
      <c r="D45" s="84" t="s">
        <v>39</v>
      </c>
      <c r="E45" s="80">
        <f t="array" ref="E45:G45">IF(D44="A",MMULT(E44:G44,$A$6:$C$8),MMULT(E44:G44,$A$12:$C$14))</f>
        <v>0.33613012406699194</v>
      </c>
      <c r="F45" s="80">
        <v>0.1054066211231731</v>
      </c>
      <c r="G45" s="80">
        <v>0.55846325480983505</v>
      </c>
      <c r="I45" s="80">
        <v>41</v>
      </c>
      <c r="J45" s="74">
        <f t="shared" si="0"/>
        <v>2.7434083727683349</v>
      </c>
    </row>
    <row r="46" spans="4:10" x14ac:dyDescent="0.3">
      <c r="D46" s="84" t="s">
        <v>38</v>
      </c>
      <c r="E46" s="80">
        <f t="array" ref="E46:G46">IF(D45="A",MMULT(E45:G45,$A$6:$C$8),MMULT(E45:G45,$A$12:$C$14))</f>
        <v>0.44293381321973629</v>
      </c>
      <c r="F46" s="80">
        <v>0.1743404917628722</v>
      </c>
      <c r="G46" s="80">
        <v>0.38272569501739168</v>
      </c>
      <c r="I46" s="80">
        <v>42</v>
      </c>
      <c r="J46" s="74">
        <f t="shared" si="0"/>
        <v>2.7334083727683347</v>
      </c>
    </row>
    <row r="47" spans="4:10" x14ac:dyDescent="0.3">
      <c r="D47" s="84" t="s">
        <v>39</v>
      </c>
      <c r="E47" s="80">
        <f t="array" ref="E47:G47">IF(D46="A",MMULT(E46:G46,$A$6:$C$8),MMULT(E46:G46,$A$12:$C$14))</f>
        <v>0.27749116737385932</v>
      </c>
      <c r="F47" s="80">
        <v>0.41252871352755227</v>
      </c>
      <c r="G47" s="80">
        <v>0.30998011909858858</v>
      </c>
      <c r="I47" s="80">
        <v>43</v>
      </c>
      <c r="J47" s="74">
        <f t="shared" si="0"/>
        <v>2.8626698551823178</v>
      </c>
    </row>
    <row r="48" spans="4:10" x14ac:dyDescent="0.3">
      <c r="D48" s="84" t="s">
        <v>39</v>
      </c>
      <c r="E48" s="80">
        <f t="array" ref="E48:G48">IF(D47="A",MMULT(E47:G47,$A$6:$C$8),MMULT(E47:G47,$A$12:$C$14))</f>
        <v>0.33613001067797432</v>
      </c>
      <c r="F48" s="80">
        <v>0.10540659127065671</v>
      </c>
      <c r="G48" s="80">
        <v>0.55846339805136913</v>
      </c>
      <c r="I48" s="80">
        <v>44</v>
      </c>
      <c r="J48" s="74">
        <f t="shared" si="0"/>
        <v>2.9157008413009513</v>
      </c>
    </row>
    <row r="49" spans="4:10" x14ac:dyDescent="0.3">
      <c r="D49" s="84" t="s">
        <v>38</v>
      </c>
      <c r="E49" s="80">
        <f t="array" ref="E49:G49">IF(D48="A",MMULT(E48:G48,$A$6:$C$8),MMULT(E48:G48,$A$12:$C$14))</f>
        <v>0.44293391232228746</v>
      </c>
      <c r="F49" s="80">
        <v>0.17434051751750668</v>
      </c>
      <c r="G49" s="80">
        <v>0.38272557016020603</v>
      </c>
      <c r="I49" s="80">
        <v>45</v>
      </c>
      <c r="J49" s="74">
        <f t="shared" si="0"/>
        <v>2.9057008413009511</v>
      </c>
    </row>
    <row r="50" spans="4:10" x14ac:dyDescent="0.3">
      <c r="D50" s="84" t="s">
        <v>39</v>
      </c>
      <c r="E50" s="80">
        <f t="array" ref="E50:G50">IF(D49="A",MMULT(E49:G49,$A$6:$C$8),MMULT(E49:G49,$A$12:$C$14))</f>
        <v>0.27749111857564285</v>
      </c>
      <c r="F50" s="80">
        <v>0.41252869953043636</v>
      </c>
      <c r="G50" s="80">
        <v>0.30998018189392096</v>
      </c>
      <c r="I50" s="80">
        <v>46</v>
      </c>
      <c r="J50" s="74">
        <f t="shared" si="0"/>
        <v>3.0349623871526155</v>
      </c>
    </row>
    <row r="51" spans="4:10" x14ac:dyDescent="0.3">
      <c r="D51" s="84" t="s">
        <v>39</v>
      </c>
      <c r="E51" s="80">
        <f t="array" ref="E51:G51">IF(D50="A",MMULT(E50:G50,$A$6:$C$8),MMULT(E50:G50,$A$12:$C$14))</f>
        <v>0.33613005389123241</v>
      </c>
      <c r="F51" s="80">
        <v>0.10540660264763592</v>
      </c>
      <c r="G51" s="80">
        <v>0.55846334346113191</v>
      </c>
      <c r="I51" s="80">
        <v>47</v>
      </c>
      <c r="J51" s="74">
        <f t="shared" si="0"/>
        <v>3.0879933170940133</v>
      </c>
    </row>
    <row r="52" spans="4:10" x14ac:dyDescent="0.3">
      <c r="D52" s="84" t="s">
        <v>38</v>
      </c>
      <c r="E52" s="80">
        <f t="array" ref="E52:G52">IF(D51="A",MMULT(E51:G51,$A$6:$C$8),MMULT(E51:G51,$A$12:$C$14))</f>
        <v>0.44293387455369043</v>
      </c>
      <c r="F52" s="80">
        <v>0.1743405077022557</v>
      </c>
      <c r="G52" s="80">
        <v>0.38272561774405411</v>
      </c>
      <c r="I52" s="80">
        <v>48</v>
      </c>
      <c r="J52" s="74">
        <f t="shared" si="0"/>
        <v>3.077993317094013</v>
      </c>
    </row>
    <row r="53" spans="4:10" x14ac:dyDescent="0.3">
      <c r="D53" s="84" t="s">
        <v>39</v>
      </c>
      <c r="E53" s="80">
        <f t="array" ref="E53:G53">IF(D52="A",MMULT(E52:G52,$A$6:$C$8),MMULT(E52:G52,$A$12:$C$14))</f>
        <v>0.27749113717294593</v>
      </c>
      <c r="F53" s="80">
        <v>0.41252870486482407</v>
      </c>
      <c r="G53" s="80">
        <v>0.30998015796223022</v>
      </c>
      <c r="I53" s="80">
        <v>49</v>
      </c>
      <c r="J53" s="74">
        <f t="shared" si="0"/>
        <v>3.2072548387691833</v>
      </c>
    </row>
    <row r="54" spans="4:10" x14ac:dyDescent="0.3">
      <c r="D54" s="84" t="s">
        <v>39</v>
      </c>
      <c r="E54" s="80">
        <f t="array" ref="E54:G54">IF(D53="A",MMULT(E53:G53,$A$6:$C$8),MMULT(E53:G53,$A$12:$C$14))</f>
        <v>0.33613003742239167</v>
      </c>
      <c r="F54" s="80">
        <v>0.10540659831179858</v>
      </c>
      <c r="G54" s="80">
        <v>0.55846336426581</v>
      </c>
      <c r="I54" s="80">
        <v>50</v>
      </c>
      <c r="J54" s="74">
        <f t="shared" si="0"/>
        <v>3.2602857901200744</v>
      </c>
    </row>
    <row r="55" spans="4:10" x14ac:dyDescent="0.3">
      <c r="D55" s="84" t="s">
        <v>38</v>
      </c>
      <c r="E55" s="80">
        <f t="array" ref="E55:G55">IF(D54="A",MMULT(E54:G54,$A$6:$C$8),MMULT(E54:G54,$A$12:$C$14))</f>
        <v>0.4429338889475371</v>
      </c>
      <c r="F55" s="80">
        <v>0.17434051144290877</v>
      </c>
      <c r="G55" s="80">
        <v>0.38272559960955443</v>
      </c>
      <c r="I55" s="80">
        <v>51</v>
      </c>
      <c r="J55" s="74">
        <f t="shared" si="0"/>
        <v>3.2502857901200741</v>
      </c>
    </row>
    <row r="56" spans="4:10" x14ac:dyDescent="0.3">
      <c r="D56" s="84" t="s">
        <v>39</v>
      </c>
      <c r="E56" s="80">
        <f t="array" ref="E56:G56">IF(D55="A",MMULT(E55:G55,$A$6:$C$8),MMULT(E55:G55,$A$12:$C$14))</f>
        <v>0.27749113008539839</v>
      </c>
      <c r="F56" s="80">
        <v>0.41252870283185583</v>
      </c>
      <c r="G56" s="80">
        <v>0.30998016708274612</v>
      </c>
      <c r="I56" s="80">
        <v>52</v>
      </c>
      <c r="J56" s="74">
        <f t="shared" si="0"/>
        <v>3.3795473210090563</v>
      </c>
    </row>
    <row r="57" spans="4:10" x14ac:dyDescent="0.3">
      <c r="D57" s="84" t="s">
        <v>39</v>
      </c>
      <c r="E57" s="80">
        <f t="array" ref="E57:G57">IF(D56="A",MMULT(E56:G56,$A$6:$C$8),MMULT(E56:G56,$A$12:$C$14))</f>
        <v>0.33613004369876909</v>
      </c>
      <c r="F57" s="80">
        <v>0.10540659996421312</v>
      </c>
      <c r="G57" s="80">
        <v>0.55846335633701805</v>
      </c>
      <c r="I57" s="80">
        <v>53</v>
      </c>
      <c r="J57" s="74">
        <f t="shared" si="0"/>
        <v>3.4325782642006564</v>
      </c>
    </row>
    <row r="58" spans="4:10" x14ac:dyDescent="0.3">
      <c r="D58" s="84" t="s">
        <v>38</v>
      </c>
      <c r="E58" s="80">
        <f t="array" ref="E58:G58">IF(D57="A",MMULT(E57:G57,$A$6:$C$8),MMULT(E57:G57,$A$12:$C$14))</f>
        <v>0.44293388346195284</v>
      </c>
      <c r="F58" s="80">
        <v>0.17434051001732268</v>
      </c>
      <c r="G58" s="80">
        <v>0.38272560652072479</v>
      </c>
      <c r="I58" s="80">
        <v>54</v>
      </c>
      <c r="J58" s="74">
        <f t="shared" si="0"/>
        <v>3.4225782642006561</v>
      </c>
    </row>
    <row r="59" spans="4:10" x14ac:dyDescent="0.3">
      <c r="D59" s="84" t="s">
        <v>39</v>
      </c>
      <c r="E59" s="80">
        <f t="array" ref="E59:G59">IF(D58="A",MMULT(E58:G58,$A$6:$C$8),MMULT(E58:G58,$A$12:$C$14))</f>
        <v>0.27749113278650672</v>
      </c>
      <c r="F59" s="80">
        <v>0.41252870360663263</v>
      </c>
      <c r="G59" s="80">
        <v>0.30998016360686093</v>
      </c>
      <c r="I59" s="80">
        <v>55</v>
      </c>
      <c r="J59" s="74">
        <f t="shared" si="0"/>
        <v>3.5518397915781974</v>
      </c>
    </row>
    <row r="60" spans="4:10" x14ac:dyDescent="0.3">
      <c r="D60" s="84" t="s">
        <v>39</v>
      </c>
      <c r="E60" s="80">
        <f t="array" ref="E60:G60">IF(D59="A",MMULT(E59:G59,$A$6:$C$8),MMULT(E59:G59,$A$12:$C$14))</f>
        <v>0.33613004130680268</v>
      </c>
      <c r="F60" s="80">
        <v>0.10540659933446767</v>
      </c>
      <c r="G60" s="80">
        <v>0.55846335935872982</v>
      </c>
      <c r="I60" s="80">
        <v>56</v>
      </c>
      <c r="J60" s="74">
        <f t="shared" si="0"/>
        <v>3.6048707378793541</v>
      </c>
    </row>
    <row r="61" spans="4:10" x14ac:dyDescent="0.3">
      <c r="D61" s="84" t="s">
        <v>38</v>
      </c>
      <c r="E61" s="80">
        <f t="array" ref="E61:G61">IF(D60="A",MMULT(E60:G60,$A$6:$C$8),MMULT(E60:G60,$A$12:$C$14))</f>
        <v>0.44293388555254298</v>
      </c>
      <c r="F61" s="80">
        <v>0.17434051056062236</v>
      </c>
      <c r="G61" s="80">
        <v>0.38272560388683485</v>
      </c>
      <c r="I61" s="80">
        <v>57</v>
      </c>
      <c r="J61" s="74">
        <f t="shared" si="0"/>
        <v>3.5948707378793539</v>
      </c>
    </row>
    <row r="62" spans="4:10" x14ac:dyDescent="0.3">
      <c r="D62" s="84" t="s">
        <v>39</v>
      </c>
      <c r="E62" s="80">
        <f t="array" ref="E62:G62">IF(D61="A",MMULT(E61:G61,$A$6:$C$8),MMULT(E61:G61,$A$12:$C$14))</f>
        <v>0.27749113175709755</v>
      </c>
      <c r="F62" s="80">
        <v>0.41252870331136038</v>
      </c>
      <c r="G62" s="80">
        <v>0.30998016493154229</v>
      </c>
      <c r="I62" s="80">
        <v>58</v>
      </c>
      <c r="J62" s="74">
        <f t="shared" si="0"/>
        <v>3.7241322665951273</v>
      </c>
    </row>
    <row r="63" spans="4:10" x14ac:dyDescent="0.3">
      <c r="D63" s="84" t="s">
        <v>39</v>
      </c>
      <c r="E63" s="80">
        <f t="array" ref="E63:G63">IF(D62="A",MMULT(E62:G62,$A$6:$C$8),MMULT(E62:G62,$A$12:$C$14))</f>
        <v>0.33613004221839593</v>
      </c>
      <c r="F63" s="80">
        <v>0.10540659957446755</v>
      </c>
      <c r="G63" s="80">
        <v>0.55846335820713677</v>
      </c>
      <c r="I63" s="80">
        <v>59</v>
      </c>
      <c r="J63" s="74">
        <f t="shared" si="0"/>
        <v>3.7771632117112128</v>
      </c>
    </row>
    <row r="64" spans="4:10" x14ac:dyDescent="0.3">
      <c r="D64" s="84" t="s">
        <v>38</v>
      </c>
      <c r="E64" s="80">
        <f t="array" ref="E64:G64">IF(D63="A",MMULT(E63:G63,$A$6:$C$8),MMULT(E63:G63,$A$12:$C$14))</f>
        <v>0.44293388475580608</v>
      </c>
      <c r="F64" s="80">
        <v>0.17434051035356751</v>
      </c>
      <c r="G64" s="80">
        <v>0.38272560489062663</v>
      </c>
      <c r="I64" s="80">
        <v>60</v>
      </c>
      <c r="J64" s="74">
        <f t="shared" si="0"/>
        <v>3.7671632117112126</v>
      </c>
    </row>
    <row r="65" spans="4:10" x14ac:dyDescent="0.3">
      <c r="D65" s="84" t="s">
        <v>39</v>
      </c>
      <c r="E65" s="80">
        <f t="array" ref="E65:G65">IF(D64="A",MMULT(E64:G64,$A$6:$C$8),MMULT(E64:G64,$A$12:$C$14))</f>
        <v>0.27749113214941179</v>
      </c>
      <c r="F65" s="80">
        <v>0.41252870342389047</v>
      </c>
      <c r="G65" s="80">
        <v>0.30998016442669801</v>
      </c>
      <c r="I65" s="80">
        <v>61</v>
      </c>
      <c r="J65" s="74">
        <f t="shared" si="0"/>
        <v>3.8964247399169776</v>
      </c>
    </row>
    <row r="66" spans="4:10" x14ac:dyDescent="0.3">
      <c r="D66" s="84" t="s">
        <v>39</v>
      </c>
      <c r="E66" s="80">
        <f t="array" ref="E66:G66">IF(D65="A",MMULT(E65:G65,$A$6:$C$8),MMULT(E65:G65,$A$12:$C$14))</f>
        <v>0.33613004187098211</v>
      </c>
      <c r="F66" s="80">
        <v>0.10540659948300211</v>
      </c>
      <c r="G66" s="80">
        <v>0.55846335864601615</v>
      </c>
      <c r="I66" s="80">
        <v>62</v>
      </c>
      <c r="J66" s="74">
        <f t="shared" si="0"/>
        <v>3.9494556854847009</v>
      </c>
    </row>
    <row r="67" spans="4:10" x14ac:dyDescent="0.3">
      <c r="D67" s="84" t="s">
        <v>38</v>
      </c>
      <c r="E67" s="80">
        <f t="array" ref="E67:G67">IF(D66="A",MMULT(E66:G66,$A$6:$C$8),MMULT(E66:G66,$A$12:$C$14))</f>
        <v>0.44293388505944753</v>
      </c>
      <c r="F67" s="80">
        <v>0.17434051043247742</v>
      </c>
      <c r="G67" s="80">
        <v>0.38272560450807536</v>
      </c>
      <c r="I67" s="80">
        <v>63</v>
      </c>
      <c r="J67" s="74">
        <f t="shared" si="0"/>
        <v>3.9394556854847007</v>
      </c>
    </row>
    <row r="68" spans="4:10" x14ac:dyDescent="0.3">
      <c r="D68" s="84" t="s">
        <v>39</v>
      </c>
      <c r="E68" s="80">
        <f t="array" ref="E68:G68">IF(D67="A",MMULT(E67:G67,$A$6:$C$8),MMULT(E67:G67,$A$12:$C$14))</f>
        <v>0.27749113199989839</v>
      </c>
      <c r="F68" s="80">
        <v>0.41252870338100456</v>
      </c>
      <c r="G68" s="80">
        <v>0.30998016461909733</v>
      </c>
      <c r="I68" s="80">
        <v>64</v>
      </c>
      <c r="J68" s="74">
        <f t="shared" si="0"/>
        <v>4.0687172138848329</v>
      </c>
    </row>
    <row r="69" spans="4:10" x14ac:dyDescent="0.3">
      <c r="D69" s="84" t="s">
        <v>39</v>
      </c>
      <c r="E69" s="80">
        <f t="array" ref="E69:G69">IF(D68="A",MMULT(E68:G68,$A$6:$C$8),MMULT(E68:G68,$A$12:$C$14))</f>
        <v>0.3361300420033837</v>
      </c>
      <c r="F69" s="80">
        <v>0.10540659951786016</v>
      </c>
      <c r="G69" s="80">
        <v>0.55846335847875639</v>
      </c>
      <c r="I69" s="80">
        <v>65</v>
      </c>
      <c r="J69" s="74">
        <f t="shared" si="0"/>
        <v>4.1217481592804344</v>
      </c>
    </row>
    <row r="70" spans="4:10" x14ac:dyDescent="0.3">
      <c r="D70" s="84" t="s">
        <v>38</v>
      </c>
      <c r="E70" s="80">
        <f t="array" ref="E70:G70">IF(D69="A",MMULT(E69:G69,$A$6:$C$8),MMULT(E69:G69,$A$12:$C$14))</f>
        <v>0.44293388494372787</v>
      </c>
      <c r="F70" s="80">
        <v>0.17434051040240434</v>
      </c>
      <c r="G70" s="80">
        <v>0.38272560465386807</v>
      </c>
      <c r="I70" s="80">
        <v>66</v>
      </c>
      <c r="J70" s="74">
        <f t="shared" si="0"/>
        <v>4.1117481592804346</v>
      </c>
    </row>
    <row r="71" spans="4:10" x14ac:dyDescent="0.3">
      <c r="D71" s="84" t="s">
        <v>39</v>
      </c>
      <c r="E71" s="80">
        <f t="array" ref="E71:G71">IF(D70="A",MMULT(E70:G70,$A$6:$C$8),MMULT(E70:G70,$A$12:$C$14))</f>
        <v>0.27749113205687892</v>
      </c>
      <c r="F71" s="80">
        <v>0.41252870339734865</v>
      </c>
      <c r="G71" s="80">
        <v>0.30998016454577271</v>
      </c>
      <c r="I71" s="80">
        <v>67</v>
      </c>
      <c r="J71" s="74">
        <f t="shared" ref="J71:J104" si="1">IF(D71="A",E71*($B$6-$C$6)+F71*($C$7-$A$7)+G71*($A$8-$B$8),E71*($B$12-$C$12)+F71*($C$13-$A$13)+G71*($A$14-$B$14))+J70</f>
        <v>4.2410096876064918</v>
      </c>
    </row>
    <row r="72" spans="4:10" x14ac:dyDescent="0.3">
      <c r="D72" s="84" t="s">
        <v>39</v>
      </c>
      <c r="E72" s="80">
        <f t="array" ref="E72:G72">IF(D71="A",MMULT(E71:G71,$A$6:$C$8),MMULT(E71:G71,$A$12:$C$14))</f>
        <v>0.33613004195292456</v>
      </c>
      <c r="F72" s="80">
        <v>0.10540659950457554</v>
      </c>
      <c r="G72" s="80">
        <v>0.55846335854250018</v>
      </c>
      <c r="I72" s="80">
        <v>68</v>
      </c>
      <c r="J72" s="74">
        <f t="shared" si="1"/>
        <v>4.2940406330676897</v>
      </c>
    </row>
    <row r="73" spans="4:10" x14ac:dyDescent="0.3">
      <c r="D73" s="84" t="s">
        <v>38</v>
      </c>
      <c r="E73" s="80">
        <f t="array" ref="E73:G73">IF(D72="A",MMULT(E72:G72,$A$6:$C$8),MMULT(E72:G72,$A$12:$C$14))</f>
        <v>0.44293388498782937</v>
      </c>
      <c r="F73" s="80">
        <v>0.17434051041386539</v>
      </c>
      <c r="G73" s="80">
        <v>0.38272560459830551</v>
      </c>
      <c r="I73" s="80">
        <v>69</v>
      </c>
      <c r="J73" s="74">
        <f t="shared" si="1"/>
        <v>4.2840406330676899</v>
      </c>
    </row>
    <row r="74" spans="4:10" x14ac:dyDescent="0.3">
      <c r="D74" s="84" t="s">
        <v>39</v>
      </c>
      <c r="E74" s="80">
        <f t="array" ref="E74:G74">IF(D73="A",MMULT(E73:G73,$A$6:$C$8),MMULT(E73:G73,$A$12:$C$14))</f>
        <v>0.27749113203516323</v>
      </c>
      <c r="F74" s="80">
        <v>0.4125287033911198</v>
      </c>
      <c r="G74" s="80">
        <v>0.30998016457371719</v>
      </c>
      <c r="I74" s="80">
        <v>70</v>
      </c>
      <c r="J74" s="74">
        <f t="shared" si="1"/>
        <v>4.4133021614219778</v>
      </c>
    </row>
    <row r="75" spans="4:10" x14ac:dyDescent="0.3">
      <c r="D75" s="84" t="s">
        <v>39</v>
      </c>
      <c r="E75" s="80">
        <f t="array" ref="E75:G75">IF(D74="A",MMULT(E74:G74,$A$6:$C$8),MMULT(E74:G74,$A$12:$C$14))</f>
        <v>0.33613004197215485</v>
      </c>
      <c r="F75" s="80">
        <v>0.10540659950963839</v>
      </c>
      <c r="G75" s="80">
        <v>0.55846335851820694</v>
      </c>
      <c r="I75" s="80">
        <v>71</v>
      </c>
      <c r="J75" s="74">
        <f t="shared" si="1"/>
        <v>4.4663331068581762</v>
      </c>
    </row>
    <row r="76" spans="4:10" x14ac:dyDescent="0.3">
      <c r="D76" s="84" t="s">
        <v>38</v>
      </c>
      <c r="E76" s="80">
        <f t="array" ref="E76:G76">IF(D75="A",MMULT(E75:G75,$A$6:$C$8),MMULT(E75:G75,$A$12:$C$14))</f>
        <v>0.44293388497102198</v>
      </c>
      <c r="F76" s="80">
        <v>0.1743405104094975</v>
      </c>
      <c r="G76" s="80">
        <v>0.38272560461948074</v>
      </c>
      <c r="I76" s="80">
        <v>72</v>
      </c>
      <c r="J76" s="74">
        <f t="shared" si="1"/>
        <v>4.4563331068581764</v>
      </c>
    </row>
    <row r="77" spans="4:10" x14ac:dyDescent="0.3">
      <c r="D77" s="84" t="s">
        <v>39</v>
      </c>
      <c r="E77" s="80">
        <f t="array" ref="E77:G77">IF(D76="A",MMULT(E76:G76,$A$6:$C$8),MMULT(E76:G76,$A$12:$C$14))</f>
        <v>0.27749113204343923</v>
      </c>
      <c r="F77" s="80">
        <v>0.41252870339349368</v>
      </c>
      <c r="G77" s="80">
        <v>0.30998016456306737</v>
      </c>
      <c r="I77" s="80">
        <v>73</v>
      </c>
      <c r="J77" s="74">
        <f t="shared" si="1"/>
        <v>4.5855946352017058</v>
      </c>
    </row>
    <row r="78" spans="4:10" x14ac:dyDescent="0.3">
      <c r="D78" s="84" t="s">
        <v>39</v>
      </c>
      <c r="E78" s="80">
        <f t="array" ref="E78:G78">IF(D77="A",MMULT(E77:G77,$A$6:$C$8),MMULT(E77:G77,$A$12:$C$14))</f>
        <v>0.3361300419648261</v>
      </c>
      <c r="F78" s="80">
        <v>0.10540659950770891</v>
      </c>
      <c r="G78" s="80">
        <v>0.55846335852746531</v>
      </c>
      <c r="I78" s="80">
        <v>74</v>
      </c>
      <c r="J78" s="74">
        <f t="shared" si="1"/>
        <v>4.6386255806474317</v>
      </c>
    </row>
    <row r="79" spans="4:10" x14ac:dyDescent="0.3">
      <c r="D79" s="84" t="s">
        <v>38</v>
      </c>
      <c r="E79" s="80">
        <f t="array" ref="E79:G79">IF(D78="A",MMULT(E78:G78,$A$6:$C$8),MMULT(E78:G78,$A$12:$C$14))</f>
        <v>0.44293388497742742</v>
      </c>
      <c r="F79" s="80">
        <v>0.17434051041116214</v>
      </c>
      <c r="G79" s="80">
        <v>0.38272560461141081</v>
      </c>
      <c r="I79" s="80">
        <v>75</v>
      </c>
      <c r="J79" s="74">
        <f t="shared" si="1"/>
        <v>4.6286255806474319</v>
      </c>
    </row>
    <row r="80" spans="4:10" x14ac:dyDescent="0.3">
      <c r="D80" s="84" t="s">
        <v>39</v>
      </c>
      <c r="E80" s="80">
        <f t="array" ref="E80:G80">IF(D79="A",MMULT(E79:G79,$A$6:$C$8),MMULT(E79:G79,$A$12:$C$14))</f>
        <v>0.27749113204028519</v>
      </c>
      <c r="F80" s="80">
        <v>0.41252870339258907</v>
      </c>
      <c r="G80" s="80">
        <v>0.30998016456712607</v>
      </c>
      <c r="I80" s="80">
        <v>76</v>
      </c>
      <c r="J80" s="74">
        <f t="shared" si="1"/>
        <v>4.7578871089950612</v>
      </c>
    </row>
    <row r="81" spans="4:10" x14ac:dyDescent="0.3">
      <c r="D81" s="84" t="s">
        <v>39</v>
      </c>
      <c r="E81" s="80">
        <f t="array" ref="E81:G81">IF(D80="A",MMULT(E80:G80,$A$6:$C$8),MMULT(E80:G80,$A$12:$C$14))</f>
        <v>0.33613004196761914</v>
      </c>
      <c r="F81" s="80">
        <v>0.10540659950844423</v>
      </c>
      <c r="G81" s="80">
        <v>0.55846335852393691</v>
      </c>
      <c r="I81" s="80">
        <v>77</v>
      </c>
      <c r="J81" s="74">
        <f t="shared" si="1"/>
        <v>4.8109180544371561</v>
      </c>
    </row>
    <row r="82" spans="4:10" x14ac:dyDescent="0.3">
      <c r="D82" s="84" t="s">
        <v>38</v>
      </c>
      <c r="E82" s="80">
        <f t="array" ref="E82:G82">IF(D81="A",MMULT(E81:G81,$A$6:$C$8),MMULT(E81:G81,$A$12:$C$14))</f>
        <v>0.44293388497498626</v>
      </c>
      <c r="F82" s="80">
        <v>0.17434051041052773</v>
      </c>
      <c r="G82" s="80">
        <v>0.38272560461448629</v>
      </c>
      <c r="I82" s="80">
        <v>78</v>
      </c>
      <c r="J82" s="74">
        <f t="shared" si="1"/>
        <v>4.8009180544371564</v>
      </c>
    </row>
    <row r="83" spans="4:10" x14ac:dyDescent="0.3">
      <c r="D83" s="84" t="s">
        <v>39</v>
      </c>
      <c r="E83" s="80">
        <f t="array" ref="E83:G83">IF(D82="A",MMULT(E82:G82,$A$6:$C$8),MMULT(E82:G82,$A$12:$C$14))</f>
        <v>0.27749113204148723</v>
      </c>
      <c r="F83" s="80">
        <v>0.41252870339293379</v>
      </c>
      <c r="G83" s="80">
        <v>0.30998016456557931</v>
      </c>
      <c r="I83" s="80">
        <v>79</v>
      </c>
      <c r="J83" s="74">
        <f t="shared" si="1"/>
        <v>4.9301795827832233</v>
      </c>
    </row>
    <row r="84" spans="4:10" x14ac:dyDescent="0.3">
      <c r="D84" s="84" t="s">
        <v>39</v>
      </c>
      <c r="E84" s="80">
        <f t="array" ref="E84:G84">IF(D83="A",MMULT(E83:G83,$A$6:$C$8),MMULT(E83:G83,$A$12:$C$14))</f>
        <v>0.33613004196655472</v>
      </c>
      <c r="F84" s="80">
        <v>0.10540659950816401</v>
      </c>
      <c r="G84" s="80">
        <v>0.55846335852528162</v>
      </c>
      <c r="I84" s="80">
        <v>80</v>
      </c>
      <c r="J84" s="74">
        <f t="shared" si="1"/>
        <v>4.9832105282267021</v>
      </c>
    </row>
    <row r="85" spans="4:10" x14ac:dyDescent="0.3">
      <c r="D85" s="84" t="s">
        <v>38</v>
      </c>
      <c r="E85" s="80">
        <f t="array" ref="E85:G85">IF(D84="A",MMULT(E84:G84,$A$6:$C$8),MMULT(E84:G84,$A$12:$C$14))</f>
        <v>0.44293388497591663</v>
      </c>
      <c r="F85" s="80">
        <v>0.17434051041076951</v>
      </c>
      <c r="G85" s="80">
        <v>0.38272560461331417</v>
      </c>
      <c r="I85" s="80">
        <v>81</v>
      </c>
      <c r="J85" s="74">
        <f t="shared" si="1"/>
        <v>4.9732105282267023</v>
      </c>
    </row>
    <row r="86" spans="4:10" x14ac:dyDescent="0.3">
      <c r="D86" s="84" t="s">
        <v>39</v>
      </c>
      <c r="E86" s="80">
        <f t="array" ref="E86:G86">IF(D85="A",MMULT(E85:G85,$A$6:$C$8),MMULT(E85:G85,$A$12:$C$14))</f>
        <v>0.2774911320410291</v>
      </c>
      <c r="F86" s="80">
        <v>0.4125287033928024</v>
      </c>
      <c r="G86" s="80">
        <v>0.30998016456616878</v>
      </c>
      <c r="I86" s="80">
        <v>82</v>
      </c>
      <c r="J86" s="74">
        <f t="shared" si="1"/>
        <v>5.1024720565733643</v>
      </c>
    </row>
    <row r="87" spans="4:10" x14ac:dyDescent="0.3">
      <c r="D87" s="84" t="s">
        <v>39</v>
      </c>
      <c r="E87" s="80">
        <f t="array" ref="E87:G87">IF(D86="A",MMULT(E86:G86,$A$6:$C$8),MMULT(E86:G86,$A$12:$C$14))</f>
        <v>0.33613004196696039</v>
      </c>
      <c r="F87" s="80">
        <v>0.1054065995082708</v>
      </c>
      <c r="G87" s="80">
        <v>0.55846335852476914</v>
      </c>
      <c r="I87" s="80">
        <v>83</v>
      </c>
      <c r="J87" s="74">
        <f t="shared" si="1"/>
        <v>5.1555030020163164</v>
      </c>
    </row>
    <row r="88" spans="4:10" x14ac:dyDescent="0.3">
      <c r="D88" s="84" t="s">
        <v>38</v>
      </c>
      <c r="E88" s="80">
        <f t="array" ref="E88:G88">IF(D87="A",MMULT(E87:G87,$A$6:$C$8),MMULT(E87:G87,$A$12:$C$14))</f>
        <v>0.44293388497556202</v>
      </c>
      <c r="F88" s="80">
        <v>0.17434051041067736</v>
      </c>
      <c r="G88" s="80">
        <v>0.38272560461376093</v>
      </c>
      <c r="I88" s="80">
        <v>84</v>
      </c>
      <c r="J88" s="74">
        <f t="shared" si="1"/>
        <v>5.1455030020163166</v>
      </c>
    </row>
    <row r="89" spans="4:10" x14ac:dyDescent="0.3">
      <c r="D89" s="84" t="s">
        <v>39</v>
      </c>
      <c r="E89" s="80">
        <f t="array" ref="E89:G89">IF(D88="A",MMULT(E88:G88,$A$6:$C$8),MMULT(E88:G88,$A$12:$C$14))</f>
        <v>0.27749113204120374</v>
      </c>
      <c r="F89" s="80">
        <v>0.41252870339285247</v>
      </c>
      <c r="G89" s="80">
        <v>0.30998016456594413</v>
      </c>
      <c r="I89" s="80">
        <v>85</v>
      </c>
      <c r="J89" s="74">
        <f t="shared" si="1"/>
        <v>5.2747645303627522</v>
      </c>
    </row>
    <row r="90" spans="4:10" x14ac:dyDescent="0.3">
      <c r="D90" s="84" t="s">
        <v>39</v>
      </c>
      <c r="E90" s="80">
        <f t="array" ref="E90:G90">IF(D89="A",MMULT(E89:G89,$A$6:$C$8),MMULT(E89:G89,$A$12:$C$14))</f>
        <v>0.33613004196680574</v>
      </c>
      <c r="F90" s="80">
        <v>0.10540659950823011</v>
      </c>
      <c r="G90" s="80">
        <v>0.55846335852496454</v>
      </c>
      <c r="I90" s="80">
        <v>86</v>
      </c>
      <c r="J90" s="74">
        <f t="shared" si="1"/>
        <v>5.327795475805905</v>
      </c>
    </row>
    <row r="91" spans="4:10" x14ac:dyDescent="0.3">
      <c r="D91" s="84" t="s">
        <v>38</v>
      </c>
      <c r="E91" s="80">
        <f t="array" ref="E91:G91">IF(D90="A",MMULT(E90:G90,$A$6:$C$8),MMULT(E90:G90,$A$12:$C$14))</f>
        <v>0.44293388497569725</v>
      </c>
      <c r="F91" s="80">
        <v>0.1743405104107125</v>
      </c>
      <c r="G91" s="80">
        <v>0.38272560461359062</v>
      </c>
      <c r="I91" s="80">
        <v>87</v>
      </c>
      <c r="J91" s="74">
        <f t="shared" si="1"/>
        <v>5.3177954758059052</v>
      </c>
    </row>
    <row r="92" spans="4:10" x14ac:dyDescent="0.3">
      <c r="D92" s="84" t="s">
        <v>39</v>
      </c>
      <c r="E92" s="80">
        <f t="array" ref="E92:G92">IF(D91="A",MMULT(E91:G91,$A$6:$C$8),MMULT(E91:G91,$A$12:$C$14))</f>
        <v>0.27749113204113718</v>
      </c>
      <c r="F92" s="80">
        <v>0.41252870339283343</v>
      </c>
      <c r="G92" s="80">
        <v>0.30998016456602984</v>
      </c>
      <c r="I92" s="80">
        <v>88</v>
      </c>
      <c r="J92" s="74">
        <f t="shared" si="1"/>
        <v>5.4470570041524269</v>
      </c>
    </row>
    <row r="93" spans="4:10" x14ac:dyDescent="0.3">
      <c r="D93" s="84" t="s">
        <v>39</v>
      </c>
      <c r="E93" s="80">
        <f t="array" ref="E93:G93">IF(D92="A",MMULT(E92:G92,$A$6:$C$8),MMULT(E92:G92,$A$12:$C$14))</f>
        <v>0.33613004196686475</v>
      </c>
      <c r="F93" s="80">
        <v>0.10540659950824563</v>
      </c>
      <c r="G93" s="80">
        <v>0.55846335852489004</v>
      </c>
      <c r="I93" s="80">
        <v>89</v>
      </c>
      <c r="J93" s="74">
        <f t="shared" si="1"/>
        <v>5.5000879495955033</v>
      </c>
    </row>
    <row r="94" spans="4:10" x14ac:dyDescent="0.3">
      <c r="D94" s="84" t="s">
        <v>38</v>
      </c>
      <c r="E94" s="80">
        <f t="array" ref="E94:G94">IF(D93="A",MMULT(E93:G93,$A$6:$C$8),MMULT(E93:G93,$A$12:$C$14))</f>
        <v>0.44293388497564573</v>
      </c>
      <c r="F94" s="80">
        <v>0.17434051041069912</v>
      </c>
      <c r="G94" s="80">
        <v>0.38272560461365562</v>
      </c>
      <c r="I94" s="80">
        <v>90</v>
      </c>
      <c r="J94" s="74">
        <f t="shared" si="1"/>
        <v>5.4900879495955035</v>
      </c>
    </row>
    <row r="95" spans="4:10" x14ac:dyDescent="0.3">
      <c r="D95" s="84" t="s">
        <v>39</v>
      </c>
      <c r="E95" s="80">
        <f t="array" ref="E95:G95">IF(D94="A",MMULT(E94:G94,$A$6:$C$8),MMULT(E94:G94,$A$12:$C$14))</f>
        <v>0.2774911320411626</v>
      </c>
      <c r="F95" s="80">
        <v>0.41252870339284076</v>
      </c>
      <c r="G95" s="80">
        <v>0.30998016456599714</v>
      </c>
      <c r="I95" s="80">
        <v>91</v>
      </c>
      <c r="J95" s="74">
        <f t="shared" si="1"/>
        <v>5.6193494779419924</v>
      </c>
    </row>
    <row r="96" spans="4:10" x14ac:dyDescent="0.3">
      <c r="D96" s="84" t="s">
        <v>39</v>
      </c>
      <c r="E96" s="80">
        <f t="array" ref="E96:G96">IF(D95="A",MMULT(E95:G95,$A$6:$C$8),MMULT(E95:G95,$A$12:$C$14))</f>
        <v>0.33613004196684226</v>
      </c>
      <c r="F96" s="80">
        <v>0.10540659950823972</v>
      </c>
      <c r="G96" s="80">
        <v>0.55846335852491857</v>
      </c>
      <c r="I96" s="80">
        <v>92</v>
      </c>
      <c r="J96" s="74">
        <f t="shared" si="1"/>
        <v>5.6723804233850981</v>
      </c>
    </row>
    <row r="97" spans="4:11" x14ac:dyDescent="0.3">
      <c r="D97" s="84" t="s">
        <v>38</v>
      </c>
      <c r="E97" s="80">
        <f t="array" ref="E97:G97">IF(D96="A",MMULT(E96:G96,$A$6:$C$8),MMULT(E96:G96,$A$12:$C$14))</f>
        <v>0.44293388497566544</v>
      </c>
      <c r="F97" s="80">
        <v>0.17434051041070425</v>
      </c>
      <c r="G97" s="80">
        <v>0.38272560461363081</v>
      </c>
      <c r="I97" s="80">
        <v>93</v>
      </c>
      <c r="J97" s="74">
        <f t="shared" si="1"/>
        <v>5.6623804233850983</v>
      </c>
    </row>
    <row r="98" spans="4:11" x14ac:dyDescent="0.3">
      <c r="D98" s="84" t="s">
        <v>39</v>
      </c>
      <c r="E98" s="80">
        <f t="array" ref="E98:G98">IF(D97="A",MMULT(E97:G97,$A$6:$C$8),MMULT(E97:G97,$A$12:$C$14))</f>
        <v>0.27749113204115289</v>
      </c>
      <c r="F98" s="80">
        <v>0.41252870339283798</v>
      </c>
      <c r="G98" s="80">
        <v>0.30998016456600963</v>
      </c>
      <c r="I98" s="80">
        <v>94</v>
      </c>
      <c r="J98" s="74">
        <f t="shared" si="1"/>
        <v>5.7916419517315996</v>
      </c>
    </row>
    <row r="99" spans="4:11" x14ac:dyDescent="0.3">
      <c r="D99" s="84" t="s">
        <v>39</v>
      </c>
      <c r="E99" s="80">
        <f t="array" ref="E99:G99">IF(D98="A",MMULT(E98:G98,$A$6:$C$8),MMULT(E98:G98,$A$12:$C$14))</f>
        <v>0.33613004196685087</v>
      </c>
      <c r="F99" s="80">
        <v>0.10540659950824198</v>
      </c>
      <c r="G99" s="80">
        <v>0.55846335852490769</v>
      </c>
      <c r="I99" s="80">
        <v>95</v>
      </c>
      <c r="J99" s="74">
        <f t="shared" si="1"/>
        <v>5.8446728971746937</v>
      </c>
    </row>
    <row r="100" spans="4:11" x14ac:dyDescent="0.3">
      <c r="D100" s="84" t="s">
        <v>38</v>
      </c>
      <c r="E100" s="80">
        <f t="array" ref="E100:G100">IF(D99="A",MMULT(E99:G99,$A$6:$C$8),MMULT(E99:G99,$A$12:$C$14))</f>
        <v>0.44293388497565794</v>
      </c>
      <c r="F100" s="80">
        <v>0.17434051041070231</v>
      </c>
      <c r="G100" s="80">
        <v>0.3827256046136403</v>
      </c>
      <c r="I100" s="80">
        <v>96</v>
      </c>
      <c r="J100" s="74">
        <f t="shared" si="1"/>
        <v>5.834672897174694</v>
      </c>
    </row>
    <row r="101" spans="4:11" x14ac:dyDescent="0.3">
      <c r="D101" s="84" t="s">
        <v>39</v>
      </c>
      <c r="E101" s="80">
        <f t="array" ref="E101:G101">IF(D100="A",MMULT(E100:G100,$A$6:$C$8),MMULT(E100:G100,$A$12:$C$14))</f>
        <v>0.27749113204115661</v>
      </c>
      <c r="F101" s="80">
        <v>0.41252870339283904</v>
      </c>
      <c r="G101" s="80">
        <v>0.30998016456600491</v>
      </c>
      <c r="I101" s="80">
        <v>97</v>
      </c>
      <c r="J101" s="74">
        <f t="shared" si="1"/>
        <v>5.9639344255211908</v>
      </c>
    </row>
    <row r="102" spans="4:11" x14ac:dyDescent="0.3">
      <c r="D102" s="84" t="s">
        <v>39</v>
      </c>
      <c r="E102" s="80">
        <f t="array" ref="E102:G102">IF(D101="A",MMULT(E101:G101,$A$6:$C$8),MMULT(E101:G101,$A$12:$C$14))</f>
        <v>0.33613004196684759</v>
      </c>
      <c r="F102" s="80">
        <v>0.10540659950824113</v>
      </c>
      <c r="G102" s="80">
        <v>0.55846335852491191</v>
      </c>
      <c r="I102" s="80">
        <v>98</v>
      </c>
      <c r="J102" s="74">
        <f t="shared" si="1"/>
        <v>6.0169653709642894</v>
      </c>
    </row>
    <row r="103" spans="4:11" x14ac:dyDescent="0.3">
      <c r="D103" s="84" t="s">
        <v>38</v>
      </c>
      <c r="E103" s="80">
        <f t="array" ref="E103:G103">IF(D102="A",MMULT(E102:G102,$A$6:$C$8),MMULT(E102:G102,$A$12:$C$14))</f>
        <v>0.44293388497566089</v>
      </c>
      <c r="F103" s="80">
        <v>0.17434051041070306</v>
      </c>
      <c r="G103" s="80">
        <v>0.38272560461363669</v>
      </c>
      <c r="I103" s="80">
        <v>99</v>
      </c>
      <c r="J103" s="74">
        <f t="shared" si="1"/>
        <v>6.0069653709642896</v>
      </c>
    </row>
    <row r="104" spans="4:11" x14ac:dyDescent="0.3">
      <c r="D104" s="84" t="s">
        <v>39</v>
      </c>
      <c r="E104" s="80">
        <f t="array" ref="E104:G104">IF(D103="A",MMULT(E103:G103,$A$6:$C$8),MMULT(E103:G103,$A$12:$C$14))</f>
        <v>0.27749113204115522</v>
      </c>
      <c r="F104" s="80">
        <v>0.41252870339283865</v>
      </c>
      <c r="G104" s="80">
        <v>0.30998016456600674</v>
      </c>
      <c r="I104" s="80">
        <v>100</v>
      </c>
      <c r="J104" s="74">
        <f t="shared" si="1"/>
        <v>6.1362268993107882</v>
      </c>
      <c r="K104" t="s">
        <v>40</v>
      </c>
    </row>
  </sheetData>
  <mergeCells count="1">
    <mergeCell ref="E3:G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116" r:id="rId4" name="Button 1532">
              <controlPr defaultSize="0" print="0" autoFill="0" autoPict="0" macro="[0]!OptimalMix">
                <anchor>
                  <from>
                    <xdr:col>11</xdr:col>
                    <xdr:colOff>563880</xdr:colOff>
                    <xdr:row>0</xdr:row>
                    <xdr:rowOff>76200</xdr:rowOff>
                  </from>
                  <to>
                    <xdr:col>13</xdr:col>
                    <xdr:colOff>60960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387" r:id="rId5" name="Button 1803">
              <controlPr defaultSize="0" print="0" autoFill="0" autoPict="0" macro="[0]!ZoomInOut">
                <anchor>
                  <from>
                    <xdr:col>14</xdr:col>
                    <xdr:colOff>563880</xdr:colOff>
                    <xdr:row>19</xdr:row>
                    <xdr:rowOff>76200</xdr:rowOff>
                  </from>
                  <to>
                    <xdr:col>16</xdr:col>
                    <xdr:colOff>60960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OneVarMCSim</vt:lpstr>
      <vt:lpstr>TwoVarMCSim</vt:lpstr>
      <vt:lpstr>Intro</vt:lpstr>
      <vt:lpstr>DGP</vt:lpstr>
      <vt:lpstr>MC</vt:lpstr>
      <vt:lpstr>MCParr</vt:lpstr>
      <vt:lpstr>Optimal</vt:lpstr>
      <vt:lpstr>MCParrOpt</vt:lpstr>
      <vt:lpstr>Optimal!epsilon</vt:lpstr>
      <vt:lpstr>epsilon</vt:lpstr>
    </vt:vector>
  </TitlesOfParts>
  <Company>Depauw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 Microsoft Excel Version of Parrongo's Paradox</dc:title>
  <dc:creator>Humberto Barreto</dc:creator>
  <dc:description/>
  <cp:lastModifiedBy>Humberto Barreto</cp:lastModifiedBy>
  <dcterms:created xsi:type="dcterms:W3CDTF">2009-06-24T15:17:00Z</dcterms:created>
  <dcterms:modified xsi:type="dcterms:W3CDTF">2024-02-29T14:08:06Z</dcterms:modified>
</cp:coreProperties>
</file>